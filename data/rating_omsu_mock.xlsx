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_Расчет" sheetId="1" r:id="rId5"/>
    <sheet state="visible" name="1_Ранг лучших динамика" sheetId="2" r:id="rId6"/>
    <sheet state="visible" name="2_Ранг худшие абсолют" sheetId="3" r:id="rId7"/>
    <sheet state="visible" name="Для слайда" sheetId="4" r:id="rId8"/>
    <sheet state="visible" name="ТОП худших лучших абс" sheetId="5" r:id="rId9"/>
    <sheet state="visible" name="Лист1" sheetId="6" r:id="rId10"/>
  </sheets>
  <definedNames>
    <definedName hidden="1" localSheetId="0" name="_xlnm._FilterDatabase">'1_Расчет'!$C$7:$BP$63</definedName>
    <definedName hidden="1" localSheetId="1" name="_xlnm._FilterDatabase">'1_Ранг лучших динамика'!$C$7:$BA$65</definedName>
    <definedName hidden="1" localSheetId="2" name="_xlnm._FilterDatabase">'2_Ранг худшие абсолют'!$B$7:$AD$63</definedName>
  </definedNames>
  <calcPr/>
</workbook>
</file>

<file path=xl/sharedStrings.xml><?xml version="1.0" encoding="utf-8"?>
<sst xmlns="http://schemas.openxmlformats.org/spreadsheetml/2006/main" count="799" uniqueCount="198">
  <si>
    <t>+</t>
  </si>
  <si>
    <t>№ пп.</t>
  </si>
  <si>
    <t>ОМСУ</t>
  </si>
  <si>
    <t>Что снабжаем в ОМСУ МОЭ</t>
  </si>
  <si>
    <t>Что снабжаем в ОМСУ РМР</t>
  </si>
  <si>
    <t>Доля сетей в ОМСУ</t>
  </si>
  <si>
    <t>Кол-во жителей в ОМСУ</t>
  </si>
  <si>
    <t>Количество отключений на новый год, шт.</t>
  </si>
  <si>
    <t>Жалобы на электроснабжения в новый год, шт.</t>
  </si>
  <si>
    <t>Количество отключений в целом за год, шт.</t>
  </si>
  <si>
    <t>Жалобы на электроснабжение</t>
  </si>
  <si>
    <t>Итоговый рейтинг ОМСУ по надежности и качеству электроснабжения (1 - самый плохой)</t>
  </si>
  <si>
    <t>Количество отключений на новый год, шт. на 10 тыс. жителей</t>
  </si>
  <si>
    <t>Жалобы на электроснабжения в новый год, шт. на 10 тыс. жителей</t>
  </si>
  <si>
    <t>Количество отключений в целом за год, шт. на 10 тыс. жителей</t>
  </si>
  <si>
    <t>Жалобы на электроснабжение на 10 тыс. чел.</t>
  </si>
  <si>
    <t>Итоговый рейтинг ОМСУ по надежности и качеству электроснабжения (1 - самый плохой) (по откл. и жалобам за год)</t>
  </si>
  <si>
    <t>Разница (2025 - 2024)</t>
  </si>
  <si>
    <t>Итоговый рейтинг топ лучших ОМСУ по динамике в 2025 г. относительно 2024 г.</t>
  </si>
  <si>
    <t>Описание</t>
  </si>
  <si>
    <t>Перечисление</t>
  </si>
  <si>
    <t>2024 / 2025</t>
  </si>
  <si>
    <t>2025 / 2026</t>
  </si>
  <si>
    <t>Разница (2026 - 2025)</t>
  </si>
  <si>
    <t>Ранг по количеству отключений за НГ</t>
  </si>
  <si>
    <t>2024/2025</t>
  </si>
  <si>
    <t>2025/2026</t>
  </si>
  <si>
    <t>Ранг по кол-ву жалоб за НГ</t>
  </si>
  <si>
    <t>Ранг по кол-ву откл. в 2025 г.</t>
  </si>
  <si>
    <t>Ранг по кол-ву жалоб в 2025 г.</t>
  </si>
  <si>
    <t>Жалобы (приведенные к кол-ву населения)</t>
  </si>
  <si>
    <t>Отключения (приведенные к кол-ву населения)</t>
  </si>
  <si>
    <t>Нормализация</t>
  </si>
  <si>
    <t>Ранг по кол-ву откл. в 2025 г. (с учетом жителей)</t>
  </si>
  <si>
    <t>Ранг по кол-ву жалоб в 2025 г. (с учетом жителей)</t>
  </si>
  <si>
    <t>Расчет с учетом нормализации</t>
  </si>
  <si>
    <t>Ранг с учетом нормализации</t>
  </si>
  <si>
    <t>откл., приведенная к кол-ву жителей</t>
  </si>
  <si>
    <t>ранг (0 - хорошо)</t>
  </si>
  <si>
    <t>жалоб., приведенная к кол-ву жителей</t>
  </si>
  <si>
    <t>%</t>
  </si>
  <si>
    <t>-</t>
  </si>
  <si>
    <t>шт.</t>
  </si>
  <si>
    <t>Балашиха</t>
  </si>
  <si>
    <t>Богородский</t>
  </si>
  <si>
    <t>Электросталь</t>
  </si>
  <si>
    <t>Щелково</t>
  </si>
  <si>
    <t>Орехово-Зуево</t>
  </si>
  <si>
    <t>Павлово-Посадский</t>
  </si>
  <si>
    <t>Люберцы</t>
  </si>
  <si>
    <t>Ленинский</t>
  </si>
  <si>
    <t>Домодедово</t>
  </si>
  <si>
    <t>Подольск</t>
  </si>
  <si>
    <t>Серпухов</t>
  </si>
  <si>
    <t>Ступино</t>
  </si>
  <si>
    <t>Чехов</t>
  </si>
  <si>
    <t>Кашира</t>
  </si>
  <si>
    <t>Зарайск</t>
  </si>
  <si>
    <t>Одинцово</t>
  </si>
  <si>
    <t>Красногорск</t>
  </si>
  <si>
    <t>Истра</t>
  </si>
  <si>
    <t>Рузский</t>
  </si>
  <si>
    <t>Дубна</t>
  </si>
  <si>
    <t>Сергиево-Посадский</t>
  </si>
  <si>
    <t>Химки</t>
  </si>
  <si>
    <t>Долгопрудный</t>
  </si>
  <si>
    <t>Лобня</t>
  </si>
  <si>
    <t>Клин</t>
  </si>
  <si>
    <t>Талдомский</t>
  </si>
  <si>
    <t>Дмитров</t>
  </si>
  <si>
    <t>Волоколамск</t>
  </si>
  <si>
    <t>Воскресенск</t>
  </si>
  <si>
    <t>Егорьевск</t>
  </si>
  <si>
    <t>Коломна</t>
  </si>
  <si>
    <t>Лосино-Петровский</t>
  </si>
  <si>
    <t>Луховицы</t>
  </si>
  <si>
    <t>Можайск</t>
  </si>
  <si>
    <t>Мытищи</t>
  </si>
  <si>
    <t>Наро-Фоминск</t>
  </si>
  <si>
    <t>Пушкино</t>
  </si>
  <si>
    <t>Раменское</t>
  </si>
  <si>
    <t>Солнечногорск</t>
  </si>
  <si>
    <t>Фрязино</t>
  </si>
  <si>
    <t>Черноголовка</t>
  </si>
  <si>
    <t>Шатура</t>
  </si>
  <si>
    <t>Бронницы</t>
  </si>
  <si>
    <t>Жуковский</t>
  </si>
  <si>
    <t>Королев</t>
  </si>
  <si>
    <t>Котельники</t>
  </si>
  <si>
    <t>Лыткарино</t>
  </si>
  <si>
    <t>Реутов</t>
  </si>
  <si>
    <t>Лотошино</t>
  </si>
  <si>
    <t>Серебряные Пруды</t>
  </si>
  <si>
    <t>Шаховская</t>
  </si>
  <si>
    <t>Власиха</t>
  </si>
  <si>
    <t>Восход</t>
  </si>
  <si>
    <t>Звездный городок</t>
  </si>
  <si>
    <t>Краснознаменск</t>
  </si>
  <si>
    <t>Молодежный</t>
  </si>
  <si>
    <t>Лучшие ОМСУ в динамике 2025 / 2024 по комплексному снижению количества жалоб и отключений</t>
  </si>
  <si>
    <t>Ранг в рейтинге (1 - самый хороший)</t>
  </si>
  <si>
    <t>Отключения 2025</t>
  </si>
  <si>
    <t>Жалобы 2025</t>
  </si>
  <si>
    <t>Раменский Городской Округ</t>
  </si>
  <si>
    <t>Городской Округ Бронницы</t>
  </si>
  <si>
    <t>Городской Округ Подольск</t>
  </si>
  <si>
    <t>Городской Округ Дубна</t>
  </si>
  <si>
    <t>Городской Округ Молодежный</t>
  </si>
  <si>
    <t>Городской Округ Егорьевск</t>
  </si>
  <si>
    <t>Городской Округ Балашиха</t>
  </si>
  <si>
    <t>Ленинский Городской Округ</t>
  </si>
  <si>
    <t>Городской Округ Долгопрудный</t>
  </si>
  <si>
    <t>Пушкинский Городской Округ</t>
  </si>
  <si>
    <t>Городской Округ Мытищи</t>
  </si>
  <si>
    <t>Городской Округ Павловский Посад</t>
  </si>
  <si>
    <t>Городской Округ Электросталь</t>
  </si>
  <si>
    <t>Городской Округ Коломна</t>
  </si>
  <si>
    <t>Городской Округ Домодедово</t>
  </si>
  <si>
    <t>Городской Округ Чехов</t>
  </si>
  <si>
    <t>Городской Округ Фрязино</t>
  </si>
  <si>
    <t>Городской Округ Щелково</t>
  </si>
  <si>
    <t>Городской Округ Котельники</t>
  </si>
  <si>
    <t>Городской Округ Шаховская</t>
  </si>
  <si>
    <t>Городской Округ Власиха</t>
  </si>
  <si>
    <t>Городской Округ Люберцы</t>
  </si>
  <si>
    <t>Городской Округ Шатура</t>
  </si>
  <si>
    <t>Городской Округ Восход</t>
  </si>
  <si>
    <t>Орехово-зуевский Городской Округ</t>
  </si>
  <si>
    <t>Городской Округ Жуковский</t>
  </si>
  <si>
    <t>Городской Округ Краснознаменск</t>
  </si>
  <si>
    <t>Городской Округ Луховицы</t>
  </si>
  <si>
    <t>Можайский Городской Округ</t>
  </si>
  <si>
    <t>Одинцовский Городской Округ</t>
  </si>
  <si>
    <t>Городской Округ Солнечногорск</t>
  </si>
  <si>
    <t>Городской Округ Химки</t>
  </si>
  <si>
    <t>Городской Округ Реутов</t>
  </si>
  <si>
    <t>Богородский Городской Округ</t>
  </si>
  <si>
    <t>Городской Округ Звездный Городок</t>
  </si>
  <si>
    <t>Городской Округ Красногорск</t>
  </si>
  <si>
    <t>Городской Округ Королёв</t>
  </si>
  <si>
    <t>Городской Округ Лотошино</t>
  </si>
  <si>
    <t>Городской Округ Лобня</t>
  </si>
  <si>
    <t>Городской Округ Черноголовка</t>
  </si>
  <si>
    <t>Городской Округ Лыткарино</t>
  </si>
  <si>
    <t>Наро-фоминский Городской Округ</t>
  </si>
  <si>
    <t>Городской Округ Зарайск</t>
  </si>
  <si>
    <t>Городской Округ Клин</t>
  </si>
  <si>
    <t>Талдомский Городской Округ</t>
  </si>
  <si>
    <t>Городской Округ Воскресенск</t>
  </si>
  <si>
    <t>Волоколамский Городской Округ</t>
  </si>
  <si>
    <t>Городской Округ Кашира</t>
  </si>
  <si>
    <t>Рузский Городской Округ</t>
  </si>
  <si>
    <t>Сергиево-посадский Городской Округ</t>
  </si>
  <si>
    <t>Городской Округ Истра</t>
  </si>
  <si>
    <t>Дмитровский Городской Округ</t>
  </si>
  <si>
    <t>Худшие ОМСУ в абсолюте по количеству отключений и жалоб на электроснабжения по итогу 2025 г.</t>
  </si>
  <si>
    <t>Ранг в рейтинге (1 - самый плохой)</t>
  </si>
  <si>
    <t>Количество отключений в целом за год (без учета майских), шт.</t>
  </si>
  <si>
    <t>Жалобы на электроснабжение (без учета майских), шт.</t>
  </si>
  <si>
    <t>Информация о действующих ППН</t>
  </si>
  <si>
    <t>Ранг топ лучших ОМСУ по динамике надежности относительно 2024 г.</t>
  </si>
  <si>
    <t>Разница 
(2026 - 2025)</t>
  </si>
  <si>
    <t>Разница 
(2025 - 2024)</t>
  </si>
  <si>
    <t>Отключения 2025 г. на 10 тыс. жителей</t>
  </si>
  <si>
    <t>Ранг по кол-ву откл. в 2025 г. на 10 тыс. жителей</t>
  </si>
  <si>
    <t>Жалобы 2025 г. на 10 тыс. жителей</t>
  </si>
  <si>
    <t>Ранг по кол-ву жалоб в 2025 г. на 10 тыс. жителей</t>
  </si>
  <si>
    <t>ППН РМР
(учт. в регуляторке)</t>
  </si>
  <si>
    <t>ППН МОЭ</t>
  </si>
  <si>
    <t>Кол-во ОМСУ хоть с одним ППН</t>
  </si>
  <si>
    <t>шт./10 тыс. чел.</t>
  </si>
  <si>
    <t>ИТОГО</t>
  </si>
  <si>
    <t>нет сетей МОЭ</t>
  </si>
  <si>
    <t>не нужна 
(на хвосте)</t>
  </si>
  <si>
    <t>не нужна
(несуществ.)</t>
  </si>
  <si>
    <t>нет сетей РМР</t>
  </si>
  <si>
    <t>не нужна</t>
  </si>
  <si>
    <t>№п/п</t>
  </si>
  <si>
    <t>Кол-во 
жителей</t>
  </si>
  <si>
    <t>Динамика отключений, %</t>
  </si>
  <si>
    <t>Динамика 
жалоб, %</t>
  </si>
  <si>
    <t>…</t>
  </si>
  <si>
    <t>Кол-во жителей</t>
  </si>
  <si>
    <t>Кол-во отключений, шт. на 10 тыс. жителей</t>
  </si>
  <si>
    <t>Кол-во жалоб шт. на 10 тыс. жителей</t>
  </si>
  <si>
    <t>ППН РМР</t>
  </si>
  <si>
    <t>Динамика, %</t>
  </si>
  <si>
    <t>кол-во, шт.</t>
  </si>
  <si>
    <t>нет сетей</t>
  </si>
  <si>
    <t>Наименование ОМСУ</t>
  </si>
  <si>
    <t xml:space="preserve">Объем финансирования, </t>
  </si>
  <si>
    <t>Объем мероприятий</t>
  </si>
  <si>
    <t>млн рублей без НДС</t>
  </si>
  <si>
    <t>Итого 26-30</t>
  </si>
  <si>
    <t>ЛЭП, км</t>
  </si>
  <si>
    <t>ТП/РП, МВА</t>
  </si>
  <si>
    <t>Итого ППН</t>
  </si>
  <si>
    <t>в т.ч. ТОП -10 худших ОМСУ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</si>
</sst>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Times New Roman"/>
    </font>
    <font>
      <sz val="11.0"/>
      <color theme="1"/>
      <name val="Arial Narrow"/>
    </font>
    <font>
      <sz val="11.0"/>
      <color theme="1"/>
      <name val="Times New Roman"/>
    </font>
    <font>
      <sz val="11.0"/>
      <color theme="0"/>
      <name val="Arial Narrow"/>
    </font>
    <font>
      <b/>
      <sz val="16.0"/>
      <color theme="1"/>
      <name val="Arial Narrow"/>
    </font>
    <font>
      <b/>
      <sz val="11.0"/>
      <color theme="1"/>
      <name val="Arial Narrow"/>
    </font>
    <font>
      <sz val="14.0"/>
      <color theme="1"/>
      <name val="Arial Narrow"/>
    </font>
    <font>
      <b/>
      <sz val="14.0"/>
      <color theme="1"/>
      <name val="Arial Narrow"/>
    </font>
    <font>
      <b/>
      <sz val="15.0"/>
      <color rgb="FFFFFFFF"/>
      <name val="Arial Narrow"/>
    </font>
    <font>
      <sz val="18.0"/>
      <color theme="1"/>
      <name val="Arial"/>
    </font>
    <font>
      <b/>
      <sz val="15.0"/>
      <color rgb="FF000000"/>
      <name val="Arial Narrow"/>
    </font>
    <font>
      <sz val="15.0"/>
      <color rgb="FF00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592B7B"/>
        <bgColor rgb="FF592B7B"/>
      </patternFill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7030A0"/>
      </right>
      <top style="medium">
        <color rgb="FF7030A0"/>
      </top>
      <bottom style="medium">
        <color rgb="FF7030A0"/>
      </bottom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</border>
    <border>
      <left style="thin">
        <color rgb="FF7030A0"/>
      </left>
      <top style="medium">
        <color rgb="FF7030A0"/>
      </top>
      <bottom style="medium">
        <color rgb="FF7030A0"/>
      </bottom>
    </border>
    <border>
      <top style="medium">
        <color rgb="FF7030A0"/>
      </top>
    </border>
    <border>
      <bottom style="medium">
        <color rgb="FF7030A0"/>
      </bottom>
    </border>
    <border>
      <top style="medium">
        <color rgb="FF7030A0"/>
      </top>
      <bottom style="medium">
        <color rgb="FF7030A0"/>
      </bottom>
    </border>
    <border>
      <left style="medium">
        <color rgb="FF592B7B"/>
      </left>
      <right/>
      <top style="medium">
        <color rgb="FF592B7B"/>
      </top>
    </border>
    <border>
      <left/>
      <right/>
      <top style="medium">
        <color rgb="FF592B7B"/>
      </top>
    </border>
    <border>
      <left/>
      <top style="medium">
        <color rgb="FF592B7B"/>
      </top>
      <bottom/>
    </border>
    <border>
      <top style="medium">
        <color rgb="FF592B7B"/>
      </top>
      <bottom/>
    </border>
    <border>
      <right/>
      <top style="medium">
        <color rgb="FF592B7B"/>
      </top>
      <bottom/>
    </border>
    <border>
      <left/>
      <top style="medium">
        <color rgb="FF592B7B"/>
      </top>
    </border>
    <border>
      <right style="medium">
        <color rgb="FF592B7B"/>
      </right>
      <top style="medium">
        <color rgb="FF592B7B"/>
      </top>
    </border>
    <border>
      <left style="medium">
        <color rgb="FF592B7B"/>
      </left>
      <right/>
    </border>
    <border>
      <left/>
      <right/>
    </border>
    <border>
      <left/>
      <top/>
      <bottom style="medium">
        <color rgb="FF592B7B"/>
      </bottom>
    </border>
    <border>
      <top/>
      <bottom style="medium">
        <color rgb="FF592B7B"/>
      </bottom>
    </border>
    <border>
      <right/>
      <top/>
      <bottom style="medium">
        <color rgb="FF592B7B"/>
      </bottom>
    </border>
    <border>
      <left/>
      <bottom style="medium">
        <color rgb="FF592B7B"/>
      </bottom>
    </border>
    <border>
      <right style="medium">
        <color rgb="FF592B7B"/>
      </right>
      <bottom style="medium">
        <color rgb="FF592B7B"/>
      </bottom>
    </border>
    <border>
      <left style="medium">
        <color rgb="FF592B7B"/>
      </left>
      <right/>
      <bottom style="medium">
        <color rgb="FF592B7B"/>
      </bottom>
    </border>
    <border>
      <left/>
      <right/>
      <bottom style="medium">
        <color rgb="FF592B7B"/>
      </bottom>
    </border>
    <border>
      <left/>
      <right/>
      <top style="medium">
        <color rgb="FF592B7B"/>
      </top>
      <bottom style="medium">
        <color rgb="FF592B7B"/>
      </bottom>
    </border>
    <border>
      <left/>
      <right style="medium">
        <color rgb="FF592B7B"/>
      </right>
      <top style="medium">
        <color rgb="FF592B7B"/>
      </top>
      <bottom style="medium">
        <color rgb="FF592B7B"/>
      </bottom>
    </border>
    <border>
      <left style="medium">
        <color rgb="FF592B7B"/>
      </left>
      <right/>
      <top style="medium">
        <color rgb="FF592B7B"/>
      </top>
      <bottom style="medium">
        <color rgb="FF592B7B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vertical="center"/>
    </xf>
    <xf borderId="0" fillId="0" fontId="2" numFmtId="9" xfId="0" applyAlignment="1" applyFont="1" applyNumberFormat="1">
      <alignment horizontal="center" vertical="center"/>
    </xf>
    <xf borderId="0" fillId="0" fontId="2" numFmtId="3" xfId="0" applyFont="1" applyNumberFormat="1"/>
    <xf borderId="0" fillId="0" fontId="2" numFmtId="9" xfId="0" applyFont="1" applyNumberFormat="1"/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2" numFmtId="3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4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1" fillId="3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0" fontId="2" numFmtId="0" xfId="0" applyBorder="1" applyFont="1"/>
    <xf borderId="1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6" numFmtId="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1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vertical="center"/>
    </xf>
    <xf borderId="1" fillId="2" fontId="9" numFmtId="3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8" fillId="2" fontId="9" numFmtId="0" xfId="0" applyAlignment="1" applyBorder="1" applyFont="1">
      <alignment horizontal="center" shrinkToFit="0" vertical="center" wrapText="1"/>
    </xf>
    <xf borderId="8" fillId="2" fontId="9" numFmtId="0" xfId="0" applyAlignment="1" applyBorder="1" applyFont="1">
      <alignment horizontal="center" vertical="center"/>
    </xf>
    <xf borderId="8" fillId="2" fontId="9" numFmtId="3" xfId="0" applyAlignment="1" applyBorder="1" applyFont="1" applyNumberFormat="1">
      <alignment horizontal="center" shrinkToFit="0" vertical="center" wrapText="1"/>
    </xf>
    <xf borderId="8" fillId="2" fontId="9" numFmtId="3" xfId="0" applyAlignment="1" applyBorder="1" applyFont="1" applyNumberFormat="1">
      <alignment horizontal="center" vertical="center"/>
    </xf>
    <xf borderId="8" fillId="2" fontId="9" numFmtId="9" xfId="0" applyAlignment="1" applyBorder="1" applyFont="1" applyNumberFormat="1">
      <alignment horizontal="center" vertical="center"/>
    </xf>
    <xf borderId="8" fillId="5" fontId="9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/>
    </xf>
    <xf borderId="1" fillId="0" fontId="5" numFmtId="3" xfId="0" applyAlignment="1" applyBorder="1" applyFont="1" applyNumberFormat="1">
      <alignment horizontal="center" vertical="center"/>
    </xf>
    <xf borderId="1" fillId="0" fontId="5" numFmtId="9" xfId="0" applyAlignment="1" applyBorder="1" applyFont="1" applyNumberFormat="1">
      <alignment horizontal="center" vertical="center"/>
    </xf>
    <xf borderId="1" fillId="0" fontId="5" numFmtId="2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5" numFmtId="0" xfId="0" applyBorder="1" applyFont="1"/>
    <xf borderId="1" fillId="5" fontId="5" numFmtId="3" xfId="0" applyAlignment="1" applyBorder="1" applyFont="1" applyNumberFormat="1">
      <alignment horizontal="center" vertical="center"/>
    </xf>
    <xf borderId="1" fillId="5" fontId="5" numFmtId="9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vertical="center"/>
    </xf>
    <xf borderId="4" fillId="2" fontId="9" numFmtId="3" xfId="0" applyAlignment="1" applyBorder="1" applyFont="1" applyNumberFormat="1">
      <alignment horizontal="center" shrinkToFit="0" vertical="center" wrapText="1"/>
    </xf>
    <xf borderId="2" fillId="2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0" fillId="0" fontId="10" numFmtId="0" xfId="0" applyFont="1"/>
    <xf borderId="1" fillId="4" fontId="11" numFmtId="0" xfId="0" applyAlignment="1" applyBorder="1" applyFont="1">
      <alignment horizontal="center" vertical="center"/>
    </xf>
    <xf borderId="1" fillId="4" fontId="11" numFmtId="3" xfId="0" applyAlignment="1" applyBorder="1" applyFont="1" applyNumberFormat="1">
      <alignment horizontal="center" shrinkToFit="0" vertical="center" wrapText="1"/>
    </xf>
    <xf borderId="1" fillId="4" fontId="11" numFmtId="164" xfId="0" applyAlignment="1" applyBorder="1" applyFont="1" applyNumberFormat="1">
      <alignment horizontal="center" vertical="center"/>
    </xf>
    <xf borderId="1" fillId="4" fontId="11" numFmtId="3" xfId="0" applyAlignment="1" applyBorder="1" applyFont="1" applyNumberFormat="1">
      <alignment horizontal="center" vertical="center"/>
    </xf>
    <xf borderId="1" fillId="4" fontId="11" numFmtId="2" xfId="0" applyAlignment="1" applyBorder="1" applyFont="1" applyNumberFormat="1">
      <alignment horizontal="center" vertical="center"/>
    </xf>
    <xf borderId="0" fillId="0" fontId="9" numFmtId="0" xfId="0" applyFont="1"/>
    <xf borderId="1" fillId="5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quotePrefix="1" borderId="1" fillId="0" fontId="5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vertical="center"/>
    </xf>
    <xf borderId="11" fillId="0" fontId="9" numFmtId="3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1" fillId="0" fontId="9" numFmtId="0" xfId="0" applyBorder="1" applyFont="1"/>
    <xf borderId="11" fillId="0" fontId="9" numFmtId="3" xfId="0" applyAlignment="1" applyBorder="1" applyFont="1" applyNumberFormat="1">
      <alignment horizontal="center" vertical="center"/>
    </xf>
    <xf borderId="11" fillId="0" fontId="9" numFmtId="9" xfId="0" applyAlignment="1" applyBorder="1" applyFont="1" applyNumberFormat="1">
      <alignment horizontal="center" vertical="center"/>
    </xf>
    <xf borderId="12" fillId="0" fontId="9" numFmtId="9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9" numFmtId="3" xfId="0" applyAlignment="1" applyBorder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3" fillId="0" fontId="9" numFmtId="3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" fillId="0" fontId="5" numFmtId="165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3" fillId="0" fontId="5" numFmtId="3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3" xfId="0" applyAlignment="1" applyBorder="1" applyFont="1" applyNumberFormat="1">
      <alignment horizontal="center" vertical="center"/>
    </xf>
    <xf borderId="15" fillId="0" fontId="5" numFmtId="9" xfId="0" applyAlignment="1" applyBorder="1" applyFont="1" applyNumberFormat="1">
      <alignment horizontal="center" vertical="center"/>
    </xf>
    <xf borderId="15" fillId="0" fontId="5" numFmtId="2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  <xf borderId="16" fillId="6" fontId="12" numFmtId="0" xfId="0" applyAlignment="1" applyBorder="1" applyFill="1" applyFont="1">
      <alignment horizontal="center" shrinkToFit="0" vertical="center" wrapText="1"/>
    </xf>
    <xf borderId="17" fillId="6" fontId="12" numFmtId="0" xfId="0" applyAlignment="1" applyBorder="1" applyFont="1">
      <alignment horizontal="center" shrinkToFit="0" vertical="center" wrapText="1"/>
    </xf>
    <xf borderId="18" fillId="6" fontId="12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6" fontId="12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6" fontId="12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6" fontId="12" numFmtId="0" xfId="0" applyAlignment="1" applyBorder="1" applyFont="1">
      <alignment horizontal="center" shrinkToFit="0" vertical="center" wrapText="1"/>
    </xf>
    <xf borderId="33" fillId="6" fontId="12" numFmtId="0" xfId="0" applyAlignment="1" applyBorder="1" applyFont="1">
      <alignment horizontal="center" shrinkToFit="0" vertical="center" wrapText="1"/>
    </xf>
    <xf borderId="34" fillId="7" fontId="13" numFmtId="0" xfId="0" applyAlignment="1" applyBorder="1" applyFill="1" applyFont="1">
      <alignment horizontal="center" shrinkToFit="0" vertical="center" wrapText="1"/>
    </xf>
    <xf borderId="32" fillId="7" fontId="14" numFmtId="0" xfId="0" applyAlignment="1" applyBorder="1" applyFont="1">
      <alignment horizontal="center" shrinkToFit="0" vertical="center" wrapText="1"/>
    </xf>
    <xf borderId="32" fillId="7" fontId="14" numFmtId="3" xfId="0" applyAlignment="1" applyBorder="1" applyFont="1" applyNumberFormat="1">
      <alignment horizontal="center" shrinkToFit="0" vertical="center" wrapText="1"/>
    </xf>
    <xf borderId="33" fillId="7" fontId="14" numFmtId="3" xfId="0" applyAlignment="1" applyBorder="1" applyFont="1" applyNumberFormat="1">
      <alignment horizontal="center" shrinkToFit="0" vertical="center" wrapText="1"/>
    </xf>
    <xf borderId="32" fillId="7" fontId="15" numFmtId="0" xfId="0" applyAlignment="1" applyBorder="1" applyFont="1">
      <alignment horizontal="center" shrinkToFit="0" vertical="center" wrapText="1"/>
    </xf>
    <xf borderId="32" fillId="7" fontId="13" numFmtId="0" xfId="0" applyAlignment="1" applyBorder="1" applyFont="1">
      <alignment horizontal="center" shrinkToFit="0" vertical="center" wrapText="1"/>
    </xf>
    <xf borderId="33" fillId="7" fontId="13" numFmtId="0" xfId="0" applyAlignment="1" applyBorder="1" applyFont="1">
      <alignment horizontal="center" shrinkToFit="0" vertical="center" wrapText="1"/>
    </xf>
    <xf borderId="34" fillId="7" fontId="15" numFmtId="0" xfId="0" applyAlignment="1" applyBorder="1" applyFont="1">
      <alignment horizontal="center" shrinkToFit="0" vertical="center" wrapText="1"/>
    </xf>
    <xf borderId="32" fillId="7" fontId="15" numFmtId="3" xfId="0" applyAlignment="1" applyBorder="1" applyFont="1" applyNumberFormat="1">
      <alignment horizontal="center" shrinkToFit="0" vertical="center" wrapText="1"/>
    </xf>
    <xf borderId="33" fillId="7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3" width="10.0"/>
    <col customWidth="1" min="4" max="4" width="23.57"/>
    <col customWidth="1" min="5" max="5" width="16.29"/>
    <col customWidth="1" min="6" max="6" width="13.86"/>
    <col customWidth="1" min="7" max="9" width="9.14"/>
    <col customWidth="1" min="10" max="10" width="14.43"/>
    <col customWidth="1" min="11" max="19" width="10.0"/>
    <col customWidth="1" min="20" max="20" width="12.0"/>
    <col customWidth="1" hidden="1" min="21" max="24" width="9.14"/>
    <col customWidth="1" hidden="1" min="25" max="25" width="13.29"/>
    <col customWidth="1" hidden="1" min="26" max="29" width="9.14"/>
    <col customWidth="1" hidden="1" min="30" max="30" width="16.14"/>
    <col customWidth="1" hidden="1" min="31" max="31" width="17.29"/>
    <col customWidth="1" hidden="1" min="32" max="36" width="9.14"/>
    <col customWidth="1" hidden="1" min="37" max="37" width="12.86"/>
    <col customWidth="1" hidden="1" min="38" max="42" width="9.14"/>
    <col customWidth="1" hidden="1" min="43" max="43" width="12.43"/>
    <col customWidth="1" min="44" max="47" width="9.14"/>
    <col customWidth="1" min="48" max="48" width="12.14"/>
    <col customWidth="1" min="49" max="49" width="9.14"/>
    <col customWidth="1" min="50" max="50" width="13.14"/>
    <col customWidth="1" min="51" max="56" width="10.0"/>
    <col customWidth="1" min="57" max="57" width="13.86"/>
    <col customWidth="1" hidden="1" min="58" max="58" width="15.29"/>
    <col customWidth="1" hidden="1" min="59" max="59" width="10.0"/>
    <col customWidth="1" hidden="1" min="60" max="60" width="21.86"/>
    <col customWidth="1" min="61" max="68" width="21.57"/>
  </cols>
  <sheetData>
    <row r="1">
      <c r="D1" s="1">
        <v>1.0</v>
      </c>
      <c r="E1" s="2">
        <f t="shared" ref="E1:BP1" si="1">D1+1</f>
        <v>2</v>
      </c>
      <c r="F1" s="2">
        <f t="shared" si="1"/>
        <v>3</v>
      </c>
      <c r="G1" s="2">
        <f t="shared" si="1"/>
        <v>4</v>
      </c>
      <c r="H1" s="2">
        <f t="shared" si="1"/>
        <v>5</v>
      </c>
      <c r="I1" s="2">
        <f t="shared" si="1"/>
        <v>6</v>
      </c>
      <c r="J1" s="2">
        <f t="shared" si="1"/>
        <v>7</v>
      </c>
      <c r="K1" s="2">
        <f t="shared" si="1"/>
        <v>8</v>
      </c>
      <c r="L1" s="2">
        <f t="shared" si="1"/>
        <v>9</v>
      </c>
      <c r="M1" s="2">
        <f t="shared" si="1"/>
        <v>10</v>
      </c>
      <c r="N1" s="2">
        <f t="shared" si="1"/>
        <v>11</v>
      </c>
      <c r="O1" s="2">
        <f t="shared" si="1"/>
        <v>12</v>
      </c>
      <c r="P1" s="2">
        <f t="shared" si="1"/>
        <v>13</v>
      </c>
      <c r="Q1" s="2">
        <f t="shared" si="1"/>
        <v>14</v>
      </c>
      <c r="R1" s="2">
        <f t="shared" si="1"/>
        <v>15</v>
      </c>
      <c r="S1" s="2">
        <f t="shared" si="1"/>
        <v>16</v>
      </c>
      <c r="T1" s="2">
        <f t="shared" si="1"/>
        <v>17</v>
      </c>
      <c r="U1" s="2">
        <f t="shared" si="1"/>
        <v>18</v>
      </c>
      <c r="V1" s="2">
        <f t="shared" si="1"/>
        <v>19</v>
      </c>
      <c r="W1" s="2">
        <f t="shared" si="1"/>
        <v>20</v>
      </c>
      <c r="X1" s="2">
        <f t="shared" si="1"/>
        <v>21</v>
      </c>
      <c r="Y1" s="2">
        <f t="shared" si="1"/>
        <v>22</v>
      </c>
      <c r="Z1" s="2">
        <f t="shared" si="1"/>
        <v>23</v>
      </c>
      <c r="AA1" s="2">
        <f t="shared" si="1"/>
        <v>24</v>
      </c>
      <c r="AB1" s="2">
        <f t="shared" si="1"/>
        <v>25</v>
      </c>
      <c r="AC1" s="2">
        <f t="shared" si="1"/>
        <v>26</v>
      </c>
      <c r="AD1" s="2">
        <f t="shared" si="1"/>
        <v>27</v>
      </c>
      <c r="AE1" s="2">
        <f t="shared" si="1"/>
        <v>28</v>
      </c>
      <c r="AF1" s="2">
        <f t="shared" si="1"/>
        <v>29</v>
      </c>
      <c r="AG1" s="2">
        <f t="shared" si="1"/>
        <v>30</v>
      </c>
      <c r="AH1" s="2">
        <f t="shared" si="1"/>
        <v>31</v>
      </c>
      <c r="AI1" s="2">
        <f t="shared" si="1"/>
        <v>32</v>
      </c>
      <c r="AJ1" s="2">
        <f t="shared" si="1"/>
        <v>33</v>
      </c>
      <c r="AK1" s="2">
        <f t="shared" si="1"/>
        <v>34</v>
      </c>
      <c r="AL1" s="2">
        <f t="shared" si="1"/>
        <v>35</v>
      </c>
      <c r="AM1" s="2">
        <f t="shared" si="1"/>
        <v>36</v>
      </c>
      <c r="AN1" s="2">
        <f t="shared" si="1"/>
        <v>37</v>
      </c>
      <c r="AO1" s="2">
        <f t="shared" si="1"/>
        <v>38</v>
      </c>
      <c r="AP1" s="2">
        <f t="shared" si="1"/>
        <v>39</v>
      </c>
      <c r="AQ1" s="2">
        <f t="shared" si="1"/>
        <v>40</v>
      </c>
      <c r="AR1" s="2">
        <f t="shared" si="1"/>
        <v>41</v>
      </c>
      <c r="AS1" s="2">
        <f t="shared" si="1"/>
        <v>42</v>
      </c>
      <c r="AT1" s="2">
        <f t="shared" si="1"/>
        <v>43</v>
      </c>
      <c r="AU1" s="2">
        <f t="shared" si="1"/>
        <v>44</v>
      </c>
      <c r="AV1" s="2">
        <f t="shared" si="1"/>
        <v>45</v>
      </c>
      <c r="AW1" s="2">
        <f t="shared" si="1"/>
        <v>46</v>
      </c>
      <c r="AX1" s="2">
        <f t="shared" si="1"/>
        <v>47</v>
      </c>
      <c r="AY1" s="2">
        <f t="shared" si="1"/>
        <v>48</v>
      </c>
      <c r="AZ1" s="2">
        <f t="shared" si="1"/>
        <v>49</v>
      </c>
      <c r="BA1" s="2">
        <f t="shared" si="1"/>
        <v>50</v>
      </c>
      <c r="BB1" s="2">
        <f t="shared" si="1"/>
        <v>51</v>
      </c>
      <c r="BC1" s="2">
        <f t="shared" si="1"/>
        <v>52</v>
      </c>
      <c r="BD1" s="2">
        <f t="shared" si="1"/>
        <v>53</v>
      </c>
      <c r="BE1" s="2">
        <f t="shared" si="1"/>
        <v>54</v>
      </c>
      <c r="BF1" s="2">
        <f t="shared" si="1"/>
        <v>55</v>
      </c>
      <c r="BG1" s="2">
        <f t="shared" si="1"/>
        <v>56</v>
      </c>
      <c r="BH1" s="2">
        <f t="shared" si="1"/>
        <v>57</v>
      </c>
      <c r="BI1" s="2">
        <f t="shared" si="1"/>
        <v>58</v>
      </c>
      <c r="BJ1" s="2">
        <f t="shared" si="1"/>
        <v>59</v>
      </c>
      <c r="BK1" s="2">
        <f t="shared" si="1"/>
        <v>60</v>
      </c>
      <c r="BL1" s="2">
        <f t="shared" si="1"/>
        <v>61</v>
      </c>
      <c r="BM1" s="2">
        <f t="shared" si="1"/>
        <v>62</v>
      </c>
      <c r="BN1" s="2">
        <f t="shared" si="1"/>
        <v>63</v>
      </c>
      <c r="BO1" s="2">
        <f t="shared" si="1"/>
        <v>64</v>
      </c>
      <c r="BP1" s="2">
        <f t="shared" si="1"/>
        <v>65</v>
      </c>
    </row>
    <row r="2">
      <c r="C2" s="3" t="s">
        <v>0</v>
      </c>
      <c r="D2" s="3" t="s">
        <v>0</v>
      </c>
      <c r="E2" s="2"/>
      <c r="F2" s="2"/>
      <c r="G2" s="2"/>
      <c r="H2" s="2"/>
      <c r="I2" s="2"/>
      <c r="J2" s="4"/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/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/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/>
      <c r="AW2" s="3"/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/>
      <c r="BD2" s="3"/>
      <c r="BE2" s="3"/>
      <c r="BF2" s="3" t="s">
        <v>0</v>
      </c>
      <c r="BH2" s="3" t="s">
        <v>0</v>
      </c>
      <c r="BL2" s="3"/>
      <c r="BM2" s="3"/>
      <c r="BN2" s="3"/>
      <c r="BO2" s="3"/>
    </row>
    <row r="3">
      <c r="C3" s="3"/>
      <c r="D3" s="3"/>
      <c r="E3" s="2"/>
      <c r="F3" s="2"/>
      <c r="G3" s="2"/>
      <c r="H3" s="2"/>
      <c r="I3" s="2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5">
        <v>0.5</v>
      </c>
      <c r="AY3" s="3"/>
      <c r="AZ3" s="3"/>
      <c r="BA3" s="3"/>
      <c r="BB3" s="3"/>
      <c r="BC3" s="3"/>
      <c r="BD3" s="3"/>
      <c r="BE3" s="5">
        <v>0.5</v>
      </c>
      <c r="BF3" s="3"/>
      <c r="BH3" s="3"/>
      <c r="BL3" s="5">
        <v>0.5</v>
      </c>
      <c r="BM3" s="5"/>
      <c r="BN3" s="5">
        <v>0.5</v>
      </c>
      <c r="BO3" s="5"/>
    </row>
    <row r="4">
      <c r="E4" s="2"/>
      <c r="F4" s="2"/>
      <c r="G4" s="2"/>
      <c r="H4" s="2"/>
      <c r="I4" s="2"/>
      <c r="J4" s="6"/>
      <c r="O4" s="7">
        <v>0.15</v>
      </c>
      <c r="P4" s="7"/>
      <c r="Q4" s="7"/>
      <c r="R4" s="7"/>
      <c r="S4" s="7"/>
      <c r="T4" s="7">
        <v>0.15</v>
      </c>
      <c r="Y4" s="7">
        <v>0.35</v>
      </c>
      <c r="AD4" s="7">
        <v>0.35</v>
      </c>
      <c r="AK4" s="7">
        <v>0.15</v>
      </c>
      <c r="AL4" s="7"/>
      <c r="AM4" s="7"/>
      <c r="AN4" s="7"/>
      <c r="AO4" s="7"/>
      <c r="AP4" s="7"/>
      <c r="AQ4" s="7">
        <v>0.15</v>
      </c>
      <c r="AX4" s="7">
        <v>0.35</v>
      </c>
      <c r="BE4" s="7">
        <v>0.35</v>
      </c>
      <c r="BL4" s="3"/>
      <c r="BM4" s="3"/>
      <c r="BN4" s="3"/>
      <c r="BO4" s="3"/>
    </row>
    <row r="5" ht="30.0" customHeight="1">
      <c r="C5" s="8" t="s">
        <v>1</v>
      </c>
      <c r="D5" s="8" t="s">
        <v>2</v>
      </c>
      <c r="E5" s="9" t="s">
        <v>3</v>
      </c>
      <c r="F5" s="10"/>
      <c r="G5" s="9" t="s">
        <v>4</v>
      </c>
      <c r="H5" s="10"/>
      <c r="I5" s="11" t="s">
        <v>5</v>
      </c>
      <c r="J5" s="12" t="s">
        <v>6</v>
      </c>
      <c r="K5" s="13" t="s">
        <v>7</v>
      </c>
      <c r="L5" s="14"/>
      <c r="M5" s="14"/>
      <c r="N5" s="14"/>
      <c r="O5" s="10"/>
      <c r="P5" s="13" t="s">
        <v>8</v>
      </c>
      <c r="Q5" s="14"/>
      <c r="R5" s="14"/>
      <c r="S5" s="14"/>
      <c r="T5" s="10"/>
      <c r="U5" s="15" t="s">
        <v>9</v>
      </c>
      <c r="V5" s="14"/>
      <c r="W5" s="14"/>
      <c r="X5" s="14"/>
      <c r="Y5" s="10"/>
      <c r="Z5" s="15" t="s">
        <v>10</v>
      </c>
      <c r="AA5" s="14"/>
      <c r="AB5" s="14"/>
      <c r="AC5" s="14"/>
      <c r="AD5" s="16"/>
      <c r="AE5" s="11" t="s">
        <v>11</v>
      </c>
      <c r="AF5" s="15" t="s">
        <v>12</v>
      </c>
      <c r="AG5" s="14"/>
      <c r="AH5" s="14"/>
      <c r="AI5" s="14"/>
      <c r="AJ5" s="14"/>
      <c r="AK5" s="10"/>
      <c r="AL5" s="15" t="s">
        <v>13</v>
      </c>
      <c r="AM5" s="14"/>
      <c r="AN5" s="14"/>
      <c r="AO5" s="14"/>
      <c r="AP5" s="14"/>
      <c r="AQ5" s="10"/>
      <c r="AR5" s="13" t="s">
        <v>14</v>
      </c>
      <c r="AS5" s="14"/>
      <c r="AT5" s="14"/>
      <c r="AU5" s="14"/>
      <c r="AV5" s="14"/>
      <c r="AW5" s="14"/>
      <c r="AX5" s="10"/>
      <c r="AY5" s="13" t="s">
        <v>15</v>
      </c>
      <c r="AZ5" s="14"/>
      <c r="BA5" s="14"/>
      <c r="BB5" s="14"/>
      <c r="BC5" s="14"/>
      <c r="BD5" s="14"/>
      <c r="BE5" s="10"/>
      <c r="BF5" s="11" t="s">
        <v>11</v>
      </c>
      <c r="BH5" s="11" t="s">
        <v>11</v>
      </c>
      <c r="BI5" s="17" t="s">
        <v>16</v>
      </c>
      <c r="BJ5" s="18"/>
      <c r="BK5" s="18"/>
      <c r="BL5" s="19" t="s">
        <v>17</v>
      </c>
      <c r="BM5" s="14"/>
      <c r="BN5" s="10"/>
      <c r="BO5" s="20"/>
      <c r="BP5" s="21" t="s">
        <v>18</v>
      </c>
    </row>
    <row r="6">
      <c r="C6" s="8"/>
      <c r="D6" s="8"/>
      <c r="E6" s="22" t="s">
        <v>5</v>
      </c>
      <c r="F6" s="22" t="s">
        <v>19</v>
      </c>
      <c r="G6" s="22" t="s">
        <v>5</v>
      </c>
      <c r="H6" s="22" t="s">
        <v>20</v>
      </c>
      <c r="I6" s="23"/>
      <c r="J6" s="23"/>
      <c r="K6" s="24" t="s">
        <v>21</v>
      </c>
      <c r="L6" s="24" t="s">
        <v>22</v>
      </c>
      <c r="M6" s="13" t="s">
        <v>23</v>
      </c>
      <c r="N6" s="10"/>
      <c r="O6" s="24" t="s">
        <v>24</v>
      </c>
      <c r="P6" s="24" t="s">
        <v>25</v>
      </c>
      <c r="Q6" s="24" t="s">
        <v>26</v>
      </c>
      <c r="R6" s="13" t="s">
        <v>23</v>
      </c>
      <c r="S6" s="10"/>
      <c r="T6" s="24" t="s">
        <v>27</v>
      </c>
      <c r="U6" s="25">
        <v>2024.0</v>
      </c>
      <c r="V6" s="25">
        <v>2025.0</v>
      </c>
      <c r="W6" s="15" t="s">
        <v>17</v>
      </c>
      <c r="X6" s="10"/>
      <c r="Y6" s="25" t="s">
        <v>28</v>
      </c>
      <c r="Z6" s="25">
        <v>2024.0</v>
      </c>
      <c r="AA6" s="25">
        <v>2025.0</v>
      </c>
      <c r="AB6" s="15" t="s">
        <v>17</v>
      </c>
      <c r="AC6" s="10"/>
      <c r="AD6" s="25" t="s">
        <v>29</v>
      </c>
      <c r="AE6" s="23"/>
      <c r="AF6" s="25" t="s">
        <v>21</v>
      </c>
      <c r="AG6" s="25" t="s">
        <v>22</v>
      </c>
      <c r="AH6" s="15" t="s">
        <v>23</v>
      </c>
      <c r="AI6" s="10"/>
      <c r="AJ6" s="25" t="s">
        <v>30</v>
      </c>
      <c r="AK6" s="25" t="s">
        <v>24</v>
      </c>
      <c r="AL6" s="25" t="s">
        <v>25</v>
      </c>
      <c r="AM6" s="25" t="s">
        <v>26</v>
      </c>
      <c r="AN6" s="15" t="s">
        <v>23</v>
      </c>
      <c r="AO6" s="10"/>
      <c r="AP6" s="25" t="s">
        <v>30</v>
      </c>
      <c r="AQ6" s="25" t="s">
        <v>27</v>
      </c>
      <c r="AR6" s="24">
        <v>2024.0</v>
      </c>
      <c r="AS6" s="24">
        <v>2025.0</v>
      </c>
      <c r="AT6" s="13" t="s">
        <v>17</v>
      </c>
      <c r="AU6" s="10"/>
      <c r="AV6" s="24" t="s">
        <v>31</v>
      </c>
      <c r="AW6" s="24" t="s">
        <v>32</v>
      </c>
      <c r="AX6" s="24" t="s">
        <v>33</v>
      </c>
      <c r="AY6" s="24">
        <v>2024.0</v>
      </c>
      <c r="AZ6" s="24">
        <v>2025.0</v>
      </c>
      <c r="BA6" s="13" t="s">
        <v>17</v>
      </c>
      <c r="BB6" s="10"/>
      <c r="BC6" s="24" t="s">
        <v>30</v>
      </c>
      <c r="BD6" s="24" t="s">
        <v>32</v>
      </c>
      <c r="BE6" s="24" t="s">
        <v>34</v>
      </c>
      <c r="BF6" s="23"/>
      <c r="BH6" s="23"/>
      <c r="BI6" s="23"/>
      <c r="BJ6" s="18" t="s">
        <v>35</v>
      </c>
      <c r="BK6" s="18" t="s">
        <v>36</v>
      </c>
      <c r="BL6" s="26" t="s">
        <v>37</v>
      </c>
      <c r="BM6" s="26" t="s">
        <v>38</v>
      </c>
      <c r="BN6" s="26" t="s">
        <v>39</v>
      </c>
      <c r="BO6" s="26" t="s">
        <v>38</v>
      </c>
      <c r="BP6" s="23"/>
    </row>
    <row r="7">
      <c r="C7" s="8"/>
      <c r="D7" s="8"/>
      <c r="E7" s="22" t="s">
        <v>40</v>
      </c>
      <c r="F7" s="22" t="s">
        <v>41</v>
      </c>
      <c r="G7" s="22" t="s">
        <v>40</v>
      </c>
      <c r="H7" s="22" t="s">
        <v>41</v>
      </c>
      <c r="I7" s="22" t="s">
        <v>40</v>
      </c>
      <c r="J7" s="27"/>
      <c r="K7" s="28" t="s">
        <v>42</v>
      </c>
      <c r="L7" s="28" t="s">
        <v>42</v>
      </c>
      <c r="M7" s="28" t="s">
        <v>42</v>
      </c>
      <c r="N7" s="28" t="s">
        <v>40</v>
      </c>
      <c r="O7" s="22" t="s">
        <v>41</v>
      </c>
      <c r="P7" s="28" t="s">
        <v>42</v>
      </c>
      <c r="Q7" s="28" t="s">
        <v>42</v>
      </c>
      <c r="R7" s="28" t="s">
        <v>42</v>
      </c>
      <c r="S7" s="28" t="s">
        <v>40</v>
      </c>
      <c r="T7" s="22"/>
      <c r="U7" s="28" t="s">
        <v>42</v>
      </c>
      <c r="V7" s="28" t="s">
        <v>42</v>
      </c>
      <c r="W7" s="28" t="s">
        <v>42</v>
      </c>
      <c r="X7" s="28" t="s">
        <v>40</v>
      </c>
      <c r="Y7" s="28" t="s">
        <v>41</v>
      </c>
      <c r="Z7" s="28" t="s">
        <v>42</v>
      </c>
      <c r="AA7" s="28" t="s">
        <v>42</v>
      </c>
      <c r="AB7" s="28" t="s">
        <v>42</v>
      </c>
      <c r="AC7" s="28" t="s">
        <v>40</v>
      </c>
      <c r="AD7" s="28" t="s">
        <v>41</v>
      </c>
      <c r="AE7" s="8"/>
      <c r="AF7" s="28" t="s">
        <v>42</v>
      </c>
      <c r="AG7" s="28" t="s">
        <v>42</v>
      </c>
      <c r="AH7" s="28" t="s">
        <v>42</v>
      </c>
      <c r="AI7" s="28" t="s">
        <v>40</v>
      </c>
      <c r="AJ7" s="28"/>
      <c r="AK7" s="22" t="s">
        <v>41</v>
      </c>
      <c r="AL7" s="28" t="s">
        <v>42</v>
      </c>
      <c r="AM7" s="28" t="s">
        <v>42</v>
      </c>
      <c r="AN7" s="28" t="s">
        <v>42</v>
      </c>
      <c r="AO7" s="28" t="s">
        <v>40</v>
      </c>
      <c r="AP7" s="28"/>
      <c r="AQ7" s="22"/>
      <c r="AR7" s="28" t="s">
        <v>42</v>
      </c>
      <c r="AS7" s="28" t="s">
        <v>42</v>
      </c>
      <c r="AT7" s="28" t="s">
        <v>42</v>
      </c>
      <c r="AU7" s="28" t="s">
        <v>40</v>
      </c>
      <c r="AV7" s="28"/>
      <c r="AW7" s="28"/>
      <c r="AX7" s="28" t="s">
        <v>41</v>
      </c>
      <c r="AY7" s="28" t="s">
        <v>42</v>
      </c>
      <c r="AZ7" s="28" t="s">
        <v>42</v>
      </c>
      <c r="BA7" s="28" t="s">
        <v>42</v>
      </c>
      <c r="BB7" s="28" t="s">
        <v>40</v>
      </c>
      <c r="BC7" s="28"/>
      <c r="BD7" s="28"/>
      <c r="BE7" s="28"/>
      <c r="BF7" s="8"/>
      <c r="BH7" s="8"/>
      <c r="BL7" s="3"/>
      <c r="BM7" s="3"/>
      <c r="BN7" s="3"/>
      <c r="BO7" s="3"/>
    </row>
    <row r="8">
      <c r="C8" s="29"/>
      <c r="D8" s="30" t="s">
        <v>43</v>
      </c>
      <c r="E8" s="31"/>
      <c r="F8" s="31"/>
      <c r="G8" s="31"/>
      <c r="H8" s="32"/>
      <c r="I8" s="31">
        <v>10.0</v>
      </c>
      <c r="J8" s="27">
        <v>549846.0</v>
      </c>
      <c r="K8" s="33">
        <v>35.0</v>
      </c>
      <c r="L8" s="33">
        <v>39.0</v>
      </c>
      <c r="M8" s="34">
        <v>4.0</v>
      </c>
      <c r="N8" s="35">
        <f t="shared" ref="N8:N63" si="4">IFERROR(M8/K8,"-")</f>
        <v>0.1142857143</v>
      </c>
      <c r="O8" s="36">
        <f t="shared" ref="O8:O63" si="5">_xlfn.RANK.EQ(L8,L$8:L$63,0)</f>
        <v>3</v>
      </c>
      <c r="P8" s="29">
        <v>15.0</v>
      </c>
      <c r="Q8" s="29">
        <v>19.0</v>
      </c>
      <c r="R8" s="34">
        <f t="shared" ref="R8:R63" si="6">Q8-P8</f>
        <v>4</v>
      </c>
      <c r="S8" s="35">
        <f t="shared" ref="S8:S63" si="7">IFERROR(R8/P8,"-")</f>
        <v>0.2666666667</v>
      </c>
      <c r="T8" s="36">
        <f t="shared" ref="T8:T63" si="8">_xlfn.RANK.EQ(Q8,Q$8:Q$63,0)</f>
        <v>10</v>
      </c>
      <c r="U8" s="29">
        <v>258.0</v>
      </c>
      <c r="V8" s="29">
        <v>203.0</v>
      </c>
      <c r="W8" s="29">
        <f t="shared" ref="W8:W63" si="9">V8-U8</f>
        <v>-55</v>
      </c>
      <c r="X8" s="35">
        <f t="shared" ref="X8:X63" si="10">IFERROR(W8/U8,"-")</f>
        <v>-0.2131782946</v>
      </c>
      <c r="Y8" s="36">
        <f t="shared" ref="Y8:Y63" si="11">_xlfn.RANK.EQ(V8,V$8:V$63,0)</f>
        <v>20</v>
      </c>
      <c r="Z8" s="33">
        <v>757.0</v>
      </c>
      <c r="AA8" s="33">
        <v>581.0</v>
      </c>
      <c r="AB8" s="29">
        <f t="shared" ref="AB8:AB63" si="12">AA8-Z8</f>
        <v>-176</v>
      </c>
      <c r="AC8" s="35">
        <f t="shared" ref="AC8:AC63" si="13">IFERROR(AB8/Z8,"-")</f>
        <v>-0.2324966975</v>
      </c>
      <c r="AD8" s="36">
        <f t="shared" ref="AD8:AD63" si="14">_xlfn.RANK.EQ(AA8,AA$8:AA$63,0)</f>
        <v>19</v>
      </c>
      <c r="AE8" s="29">
        <f t="shared" ref="AE8:AE63" si="15">O8*O$4+T8*T$4+Y8*Y$4+AD8*AD$4</f>
        <v>15.6</v>
      </c>
      <c r="AF8" s="33">
        <f t="shared" ref="AF8:AG8" si="2">K8</f>
        <v>35</v>
      </c>
      <c r="AG8" s="33">
        <f t="shared" si="2"/>
        <v>39</v>
      </c>
      <c r="AH8" s="34">
        <f t="shared" ref="AH8:AH63" si="17">AG8-AF8</f>
        <v>4</v>
      </c>
      <c r="AI8" s="35">
        <f t="shared" ref="AI8:AI63" si="18">IFERROR(AH8/AF8,"-")</f>
        <v>0.1142857143</v>
      </c>
      <c r="AJ8" s="33">
        <f t="shared" ref="AJ8:AJ63" si="19">10000*AG8/J8</f>
        <v>0.7092895102</v>
      </c>
      <c r="AK8" s="36">
        <f t="shared" ref="AK8:AK63" si="20">_xlfn.RANK.EQ(AJ8,AJ$8:AJ$63,0)</f>
        <v>26</v>
      </c>
      <c r="AL8" s="29">
        <f t="shared" ref="AL8:AM8" si="3">P8</f>
        <v>15</v>
      </c>
      <c r="AM8" s="29">
        <f t="shared" si="3"/>
        <v>19</v>
      </c>
      <c r="AN8" s="34">
        <f t="shared" ref="AN8:AN63" si="22">AM8-AL8</f>
        <v>4</v>
      </c>
      <c r="AO8" s="35">
        <f t="shared" ref="AO8:AO63" si="23">IFERROR(AN8/AL8,"-")</f>
        <v>0.2666666667</v>
      </c>
      <c r="AP8" s="33">
        <f t="shared" ref="AP8:AP63" si="24">10000*AM8/J8</f>
        <v>0.3455512998</v>
      </c>
      <c r="AQ8" s="36">
        <f t="shared" ref="AQ8:AQ63" si="25">_xlfn.RANK.EQ(AP8,AP$8:AP$63,0)</f>
        <v>27</v>
      </c>
      <c r="AR8" s="29">
        <v>258.0</v>
      </c>
      <c r="AS8" s="29">
        <v>203.0</v>
      </c>
      <c r="AT8" s="29">
        <f t="shared" ref="AT8:AT63" si="26">AS8-AR8</f>
        <v>-55</v>
      </c>
      <c r="AU8" s="35">
        <f t="shared" ref="AU8:AU63" si="27">IFERROR(AT8/AR8,"-")</f>
        <v>-0.2131782946</v>
      </c>
      <c r="AV8" s="33">
        <f t="shared" ref="AV8:AV63" si="28">10000*AS8/J8</f>
        <v>3.691942835</v>
      </c>
      <c r="AW8" s="33">
        <f>IFERROR(MAX(AV$8:AV$63)/(MAX(AV$8:AV$63)-AV8)*5,0)</f>
        <v>5.471003057</v>
      </c>
      <c r="AX8" s="36">
        <f t="shared" ref="AX8:AX63" si="29">_xlfn.RANK.EQ(AV8,AV$8:AV$63,0)</f>
        <v>45</v>
      </c>
      <c r="AY8" s="33">
        <v>757.0</v>
      </c>
      <c r="AZ8" s="33">
        <v>581.0</v>
      </c>
      <c r="BA8" s="29">
        <f t="shared" ref="BA8:BA63" si="30">AZ8-AY8</f>
        <v>-176</v>
      </c>
      <c r="BB8" s="35">
        <f t="shared" ref="BB8:BB63" si="31">IFERROR(BA8/AY8,"-")</f>
        <v>-0.2324966975</v>
      </c>
      <c r="BC8" s="36">
        <f t="shared" ref="BC8:BC63" si="32">AZ8*10000/J8</f>
        <v>10.56659501</v>
      </c>
      <c r="BD8" s="33">
        <f t="shared" ref="BD8:BD63" si="33">(MAX(BC$8:BC$63)-BC8)/MAX(BC$8:BC$63)*5</f>
        <v>4.60592788</v>
      </c>
      <c r="BE8" s="36">
        <f t="shared" ref="BE8:BE63" si="34">_xlfn.RANK.EQ(BC8,BC$8:BC$63,0)</f>
        <v>48</v>
      </c>
      <c r="BF8" s="29">
        <f t="shared" ref="BF8:BF63" si="35">AK8*AK$4+AQ8*AQ$4+AX8*AX$4+BE8*BE$4</f>
        <v>40.5</v>
      </c>
      <c r="BH8" s="29">
        <f>AX$4*AX8+BE8*BE$4</f>
        <v>32.55</v>
      </c>
      <c r="BI8" s="1">
        <f t="shared" ref="BI8:BI63" si="36">AX$3*AX8+BE$3*BE8</f>
        <v>46.5</v>
      </c>
      <c r="BJ8" s="1">
        <f t="shared" ref="BJ8:BJ63" si="37">AW8*AX$3+BD8*BE$3</f>
        <v>5.038465469</v>
      </c>
      <c r="BK8" s="1">
        <f t="shared" ref="BK8:BK63" si="38">_xlfn.RANK.EQ(BJ8,BJ$8:BJ$63,1)</f>
        <v>56</v>
      </c>
      <c r="BL8" s="3">
        <f t="shared" ref="BL8:BL63" si="39">AT8/J8*10000</f>
        <v>-1.000280078</v>
      </c>
      <c r="BM8" s="33">
        <f t="shared" ref="BM8:BM63" si="40">_xlfn.RANK.EQ(BL8,BL$8:BL$63,1)</f>
        <v>5</v>
      </c>
      <c r="BN8" s="3">
        <f t="shared" ref="BN8:BN63" si="41">BA8/J8*10000</f>
        <v>-3.200896251</v>
      </c>
      <c r="BO8" s="33">
        <f t="shared" ref="BO8:BO63" si="42">_xlfn.RANK.EQ(BN8,BN$8:BN$63,1)</f>
        <v>26</v>
      </c>
      <c r="BP8" s="1">
        <f t="shared" ref="BP8:BP63" si="43">BM8*BL$3+BO8*BN$3</f>
        <v>15.5</v>
      </c>
    </row>
    <row r="9">
      <c r="C9" s="29"/>
      <c r="D9" s="30" t="s">
        <v>44</v>
      </c>
      <c r="E9" s="31"/>
      <c r="F9" s="31"/>
      <c r="G9" s="31"/>
      <c r="H9" s="32"/>
      <c r="I9" s="31">
        <v>7.0</v>
      </c>
      <c r="J9" s="27">
        <v>218485.0</v>
      </c>
      <c r="K9" s="33">
        <v>1.0</v>
      </c>
      <c r="L9" s="33">
        <v>5.0</v>
      </c>
      <c r="M9" s="34">
        <v>4.0</v>
      </c>
      <c r="N9" s="35">
        <f t="shared" si="4"/>
        <v>4</v>
      </c>
      <c r="O9" s="36">
        <f t="shared" si="5"/>
        <v>33</v>
      </c>
      <c r="P9" s="29">
        <v>10.0</v>
      </c>
      <c r="Q9" s="29">
        <v>8.0</v>
      </c>
      <c r="R9" s="34">
        <f t="shared" si="6"/>
        <v>-2</v>
      </c>
      <c r="S9" s="35">
        <f t="shared" si="7"/>
        <v>-0.2</v>
      </c>
      <c r="T9" s="36">
        <f t="shared" si="8"/>
        <v>21</v>
      </c>
      <c r="U9" s="29">
        <v>201.0</v>
      </c>
      <c r="V9" s="29">
        <v>262.0</v>
      </c>
      <c r="W9" s="29">
        <f t="shared" si="9"/>
        <v>61</v>
      </c>
      <c r="X9" s="35">
        <f t="shared" si="10"/>
        <v>0.3034825871</v>
      </c>
      <c r="Y9" s="36">
        <f t="shared" si="11"/>
        <v>13</v>
      </c>
      <c r="Z9" s="33">
        <v>783.0</v>
      </c>
      <c r="AA9" s="33">
        <v>787.0</v>
      </c>
      <c r="AB9" s="29">
        <f t="shared" si="12"/>
        <v>4</v>
      </c>
      <c r="AC9" s="35">
        <f t="shared" si="13"/>
        <v>0.005108556833</v>
      </c>
      <c r="AD9" s="36">
        <f t="shared" si="14"/>
        <v>14</v>
      </c>
      <c r="AE9" s="29">
        <f t="shared" si="15"/>
        <v>17.55</v>
      </c>
      <c r="AF9" s="33">
        <f t="shared" ref="AF9:AG9" si="16">K9</f>
        <v>1</v>
      </c>
      <c r="AG9" s="33">
        <f t="shared" si="16"/>
        <v>5</v>
      </c>
      <c r="AH9" s="34">
        <f t="shared" si="17"/>
        <v>4</v>
      </c>
      <c r="AI9" s="35">
        <f t="shared" si="18"/>
        <v>4</v>
      </c>
      <c r="AJ9" s="33">
        <f t="shared" si="19"/>
        <v>0.2288486624</v>
      </c>
      <c r="AK9" s="36">
        <f t="shared" si="20"/>
        <v>37</v>
      </c>
      <c r="AL9" s="29">
        <f t="shared" ref="AL9:AM9" si="21">P9</f>
        <v>10</v>
      </c>
      <c r="AM9" s="29">
        <f t="shared" si="21"/>
        <v>8</v>
      </c>
      <c r="AN9" s="34">
        <f t="shared" si="22"/>
        <v>-2</v>
      </c>
      <c r="AO9" s="35">
        <f t="shared" si="23"/>
        <v>-0.2</v>
      </c>
      <c r="AP9" s="33">
        <f t="shared" si="24"/>
        <v>0.3661578598</v>
      </c>
      <c r="AQ9" s="36">
        <f t="shared" si="25"/>
        <v>26</v>
      </c>
      <c r="AR9" s="29">
        <v>201.0</v>
      </c>
      <c r="AS9" s="29">
        <v>262.0</v>
      </c>
      <c r="AT9" s="29">
        <f t="shared" si="26"/>
        <v>61</v>
      </c>
      <c r="AU9" s="35">
        <f t="shared" si="27"/>
        <v>0.3034825871</v>
      </c>
      <c r="AV9" s="33">
        <f t="shared" si="28"/>
        <v>11.99166991</v>
      </c>
      <c r="AW9" s="33">
        <f t="shared" ref="AW9:AW63" si="46">(MAX(AV$8:AV$63)-AV9)/MAX(AV$8:AV$63)*5</f>
        <v>3.601857393</v>
      </c>
      <c r="AX9" s="36">
        <f t="shared" si="29"/>
        <v>20</v>
      </c>
      <c r="AY9" s="33">
        <v>783.0</v>
      </c>
      <c r="AZ9" s="33">
        <v>787.0</v>
      </c>
      <c r="BA9" s="29">
        <f t="shared" si="30"/>
        <v>4</v>
      </c>
      <c r="BB9" s="35">
        <f t="shared" si="31"/>
        <v>0.005108556833</v>
      </c>
      <c r="BC9" s="36">
        <f t="shared" si="32"/>
        <v>36.02077946</v>
      </c>
      <c r="BD9" s="33">
        <f t="shared" si="33"/>
        <v>3.656635851</v>
      </c>
      <c r="BE9" s="36">
        <f t="shared" si="34"/>
        <v>20</v>
      </c>
      <c r="BF9" s="29">
        <f t="shared" si="35"/>
        <v>23.45</v>
      </c>
      <c r="BH9" s="29">
        <f t="shared" ref="BH9:BH63" si="47">O9*O$4+T9*T$4+AX$4*AX9+BE9*BE$4</f>
        <v>22.1</v>
      </c>
      <c r="BI9" s="1">
        <f t="shared" si="36"/>
        <v>20</v>
      </c>
      <c r="BJ9" s="1">
        <f t="shared" si="37"/>
        <v>3.629246622</v>
      </c>
      <c r="BK9" s="1">
        <f t="shared" si="38"/>
        <v>19</v>
      </c>
      <c r="BL9" s="3">
        <f t="shared" si="39"/>
        <v>2.791953681</v>
      </c>
      <c r="BM9" s="33">
        <f t="shared" si="40"/>
        <v>32</v>
      </c>
      <c r="BN9" s="3">
        <f t="shared" si="41"/>
        <v>0.1830789299</v>
      </c>
      <c r="BO9" s="33">
        <f t="shared" si="42"/>
        <v>34</v>
      </c>
      <c r="BP9" s="1">
        <f t="shared" si="43"/>
        <v>33</v>
      </c>
    </row>
    <row r="10">
      <c r="C10" s="29"/>
      <c r="D10" s="30" t="s">
        <v>45</v>
      </c>
      <c r="E10" s="31"/>
      <c r="F10" s="31"/>
      <c r="G10" s="31"/>
      <c r="H10" s="32"/>
      <c r="I10" s="31">
        <v>15.0</v>
      </c>
      <c r="J10" s="27">
        <v>152190.0</v>
      </c>
      <c r="K10" s="33">
        <v>2.0</v>
      </c>
      <c r="L10" s="33">
        <v>6.0</v>
      </c>
      <c r="M10" s="34">
        <v>4.0</v>
      </c>
      <c r="N10" s="35">
        <f t="shared" si="4"/>
        <v>2</v>
      </c>
      <c r="O10" s="36">
        <f t="shared" si="5"/>
        <v>29</v>
      </c>
      <c r="P10" s="29">
        <v>5.0</v>
      </c>
      <c r="Q10" s="29">
        <v>8.0</v>
      </c>
      <c r="R10" s="34">
        <f t="shared" si="6"/>
        <v>3</v>
      </c>
      <c r="S10" s="35">
        <f t="shared" si="7"/>
        <v>0.6</v>
      </c>
      <c r="T10" s="36">
        <f t="shared" si="8"/>
        <v>21</v>
      </c>
      <c r="U10" s="29">
        <v>61.0</v>
      </c>
      <c r="V10" s="29">
        <v>52.0</v>
      </c>
      <c r="W10" s="29">
        <f t="shared" si="9"/>
        <v>-9</v>
      </c>
      <c r="X10" s="35">
        <f t="shared" si="10"/>
        <v>-0.1475409836</v>
      </c>
      <c r="Y10" s="36">
        <f t="shared" si="11"/>
        <v>40</v>
      </c>
      <c r="Z10" s="33">
        <v>140.0</v>
      </c>
      <c r="AA10" s="33">
        <v>114.0</v>
      </c>
      <c r="AB10" s="29">
        <f t="shared" si="12"/>
        <v>-26</v>
      </c>
      <c r="AC10" s="35">
        <f t="shared" si="13"/>
        <v>-0.1857142857</v>
      </c>
      <c r="AD10" s="36">
        <f t="shared" si="14"/>
        <v>43</v>
      </c>
      <c r="AE10" s="29">
        <f t="shared" si="15"/>
        <v>36.55</v>
      </c>
      <c r="AF10" s="33">
        <f t="shared" ref="AF10:AG10" si="44">K10</f>
        <v>2</v>
      </c>
      <c r="AG10" s="33">
        <f t="shared" si="44"/>
        <v>6</v>
      </c>
      <c r="AH10" s="34">
        <f t="shared" si="17"/>
        <v>4</v>
      </c>
      <c r="AI10" s="35">
        <f t="shared" si="18"/>
        <v>2</v>
      </c>
      <c r="AJ10" s="33">
        <f t="shared" si="19"/>
        <v>0.3942440371</v>
      </c>
      <c r="AK10" s="36">
        <f t="shared" si="20"/>
        <v>34</v>
      </c>
      <c r="AL10" s="29">
        <f t="shared" ref="AL10:AM10" si="45">P10</f>
        <v>5</v>
      </c>
      <c r="AM10" s="29">
        <f t="shared" si="45"/>
        <v>8</v>
      </c>
      <c r="AN10" s="34">
        <f t="shared" si="22"/>
        <v>3</v>
      </c>
      <c r="AO10" s="35">
        <f t="shared" si="23"/>
        <v>0.6</v>
      </c>
      <c r="AP10" s="33">
        <f t="shared" si="24"/>
        <v>0.5256587161</v>
      </c>
      <c r="AQ10" s="36">
        <f t="shared" si="25"/>
        <v>22</v>
      </c>
      <c r="AR10" s="29">
        <v>61.0</v>
      </c>
      <c r="AS10" s="29">
        <v>52.0</v>
      </c>
      <c r="AT10" s="29">
        <f t="shared" si="26"/>
        <v>-9</v>
      </c>
      <c r="AU10" s="35">
        <f t="shared" si="27"/>
        <v>-0.1475409836</v>
      </c>
      <c r="AV10" s="33">
        <f t="shared" si="28"/>
        <v>3.416781655</v>
      </c>
      <c r="AW10" s="33">
        <f t="shared" si="46"/>
        <v>4.601627793</v>
      </c>
      <c r="AX10" s="36">
        <f t="shared" si="29"/>
        <v>46</v>
      </c>
      <c r="AY10" s="33">
        <v>140.0</v>
      </c>
      <c r="AZ10" s="33">
        <v>114.0</v>
      </c>
      <c r="BA10" s="29">
        <f t="shared" si="30"/>
        <v>-26</v>
      </c>
      <c r="BB10" s="35">
        <f t="shared" si="31"/>
        <v>-0.1857142857</v>
      </c>
      <c r="BC10" s="36">
        <f t="shared" si="32"/>
        <v>7.490636704</v>
      </c>
      <c r="BD10" s="33">
        <f t="shared" si="33"/>
        <v>4.720643113</v>
      </c>
      <c r="BE10" s="36">
        <f t="shared" si="34"/>
        <v>52</v>
      </c>
      <c r="BF10" s="29">
        <f t="shared" si="35"/>
        <v>42.7</v>
      </c>
      <c r="BH10" s="29">
        <f t="shared" si="47"/>
        <v>41.8</v>
      </c>
      <c r="BI10" s="1">
        <f t="shared" si="36"/>
        <v>49</v>
      </c>
      <c r="BJ10" s="1">
        <f t="shared" si="37"/>
        <v>4.661135453</v>
      </c>
      <c r="BK10" s="1">
        <f t="shared" si="38"/>
        <v>49</v>
      </c>
      <c r="BL10" s="3">
        <f t="shared" si="39"/>
        <v>-0.5913660556</v>
      </c>
      <c r="BM10" s="33">
        <f t="shared" si="40"/>
        <v>9</v>
      </c>
      <c r="BN10" s="3">
        <f t="shared" si="41"/>
        <v>-1.708390827</v>
      </c>
      <c r="BO10" s="33">
        <f t="shared" si="42"/>
        <v>29</v>
      </c>
      <c r="BP10" s="1">
        <f t="shared" si="43"/>
        <v>19</v>
      </c>
    </row>
    <row r="11">
      <c r="C11" s="29"/>
      <c r="D11" s="30" t="s">
        <v>46</v>
      </c>
      <c r="E11" s="31"/>
      <c r="F11" s="31"/>
      <c r="G11" s="31"/>
      <c r="H11" s="32"/>
      <c r="I11" s="31">
        <v>8.0</v>
      </c>
      <c r="J11" s="37">
        <v>217794.0</v>
      </c>
      <c r="K11" s="33">
        <v>5.0</v>
      </c>
      <c r="L11" s="33">
        <v>1.0</v>
      </c>
      <c r="M11" s="34">
        <v>-4.0</v>
      </c>
      <c r="N11" s="35">
        <f t="shared" si="4"/>
        <v>-0.8</v>
      </c>
      <c r="O11" s="36">
        <f t="shared" si="5"/>
        <v>38</v>
      </c>
      <c r="P11" s="29">
        <v>9.0</v>
      </c>
      <c r="Q11" s="29">
        <v>14.0</v>
      </c>
      <c r="R11" s="34">
        <f t="shared" si="6"/>
        <v>5</v>
      </c>
      <c r="S11" s="35">
        <f t="shared" si="7"/>
        <v>0.5555555556</v>
      </c>
      <c r="T11" s="36">
        <f t="shared" si="8"/>
        <v>16</v>
      </c>
      <c r="U11" s="29">
        <v>169.0</v>
      </c>
      <c r="V11" s="29">
        <v>194.0</v>
      </c>
      <c r="W11" s="29">
        <f t="shared" si="9"/>
        <v>25</v>
      </c>
      <c r="X11" s="35">
        <f t="shared" si="10"/>
        <v>0.1479289941</v>
      </c>
      <c r="Y11" s="36">
        <f t="shared" si="11"/>
        <v>21</v>
      </c>
      <c r="Z11" s="33">
        <v>515.0</v>
      </c>
      <c r="AA11" s="33">
        <v>440.0</v>
      </c>
      <c r="AB11" s="29">
        <f t="shared" si="12"/>
        <v>-75</v>
      </c>
      <c r="AC11" s="35">
        <f t="shared" si="13"/>
        <v>-0.145631068</v>
      </c>
      <c r="AD11" s="36">
        <f t="shared" si="14"/>
        <v>24</v>
      </c>
      <c r="AE11" s="29">
        <f t="shared" si="15"/>
        <v>23.85</v>
      </c>
      <c r="AF11" s="33">
        <f t="shared" ref="AF11:AG11" si="48">K11</f>
        <v>5</v>
      </c>
      <c r="AG11" s="33">
        <f t="shared" si="48"/>
        <v>1</v>
      </c>
      <c r="AH11" s="34">
        <f t="shared" si="17"/>
        <v>-4</v>
      </c>
      <c r="AI11" s="35">
        <f t="shared" si="18"/>
        <v>-0.8</v>
      </c>
      <c r="AJ11" s="33">
        <f t="shared" si="19"/>
        <v>0.04591494715</v>
      </c>
      <c r="AK11" s="36">
        <f t="shared" si="20"/>
        <v>45</v>
      </c>
      <c r="AL11" s="29">
        <f t="shared" ref="AL11:AM11" si="49">P11</f>
        <v>9</v>
      </c>
      <c r="AM11" s="29">
        <f t="shared" si="49"/>
        <v>14</v>
      </c>
      <c r="AN11" s="34">
        <f t="shared" si="22"/>
        <v>5</v>
      </c>
      <c r="AO11" s="35">
        <f t="shared" si="23"/>
        <v>0.5555555556</v>
      </c>
      <c r="AP11" s="33">
        <f t="shared" si="24"/>
        <v>0.6428092601</v>
      </c>
      <c r="AQ11" s="36">
        <f t="shared" si="25"/>
        <v>19</v>
      </c>
      <c r="AR11" s="29">
        <v>169.0</v>
      </c>
      <c r="AS11" s="29">
        <v>194.0</v>
      </c>
      <c r="AT11" s="29">
        <f t="shared" si="26"/>
        <v>25</v>
      </c>
      <c r="AU11" s="35">
        <f t="shared" si="27"/>
        <v>0.1479289941</v>
      </c>
      <c r="AV11" s="33">
        <f t="shared" si="28"/>
        <v>8.907499747</v>
      </c>
      <c r="AW11" s="33">
        <f t="shared" si="46"/>
        <v>3.961449489</v>
      </c>
      <c r="AX11" s="36">
        <f t="shared" si="29"/>
        <v>27</v>
      </c>
      <c r="AY11" s="33">
        <v>515.0</v>
      </c>
      <c r="AZ11" s="33">
        <v>440.0</v>
      </c>
      <c r="BA11" s="29">
        <f t="shared" si="30"/>
        <v>-75</v>
      </c>
      <c r="BB11" s="35">
        <f t="shared" si="31"/>
        <v>-0.145631068</v>
      </c>
      <c r="BC11" s="36">
        <f t="shared" si="32"/>
        <v>20.20257675</v>
      </c>
      <c r="BD11" s="33">
        <f t="shared" si="33"/>
        <v>4.246562187</v>
      </c>
      <c r="BE11" s="36">
        <f t="shared" si="34"/>
        <v>37</v>
      </c>
      <c r="BF11" s="29">
        <f t="shared" si="35"/>
        <v>32</v>
      </c>
      <c r="BH11" s="29">
        <f t="shared" si="47"/>
        <v>30.5</v>
      </c>
      <c r="BI11" s="1">
        <f t="shared" si="36"/>
        <v>32</v>
      </c>
      <c r="BJ11" s="1">
        <f t="shared" si="37"/>
        <v>4.104005838</v>
      </c>
      <c r="BK11" s="1">
        <f t="shared" si="38"/>
        <v>34</v>
      </c>
      <c r="BL11" s="3">
        <f t="shared" si="39"/>
        <v>1.147873679</v>
      </c>
      <c r="BM11" s="33">
        <f t="shared" si="40"/>
        <v>20</v>
      </c>
      <c r="BN11" s="3">
        <f t="shared" si="41"/>
        <v>-3.443621036</v>
      </c>
      <c r="BO11" s="33">
        <f t="shared" si="42"/>
        <v>23</v>
      </c>
      <c r="BP11" s="1">
        <f t="shared" si="43"/>
        <v>21.5</v>
      </c>
    </row>
    <row r="12">
      <c r="C12" s="29"/>
      <c r="D12" s="30" t="s">
        <v>47</v>
      </c>
      <c r="E12" s="31"/>
      <c r="F12" s="31"/>
      <c r="G12" s="31"/>
      <c r="H12" s="31"/>
      <c r="I12" s="31">
        <v>1.0</v>
      </c>
      <c r="J12" s="37">
        <v>241038.0</v>
      </c>
      <c r="K12" s="33">
        <v>36.0</v>
      </c>
      <c r="L12" s="33">
        <v>22.0</v>
      </c>
      <c r="M12" s="34">
        <v>-14.0</v>
      </c>
      <c r="N12" s="35">
        <f t="shared" si="4"/>
        <v>-0.3888888889</v>
      </c>
      <c r="O12" s="36">
        <f t="shared" si="5"/>
        <v>16</v>
      </c>
      <c r="P12" s="29">
        <v>4.0</v>
      </c>
      <c r="Q12" s="29">
        <v>5.0</v>
      </c>
      <c r="R12" s="34">
        <f t="shared" si="6"/>
        <v>1</v>
      </c>
      <c r="S12" s="35">
        <f t="shared" si="7"/>
        <v>0.25</v>
      </c>
      <c r="T12" s="36">
        <f t="shared" si="8"/>
        <v>27</v>
      </c>
      <c r="U12" s="29">
        <v>164.0</v>
      </c>
      <c r="V12" s="29">
        <v>277.0</v>
      </c>
      <c r="W12" s="29">
        <f t="shared" si="9"/>
        <v>113</v>
      </c>
      <c r="X12" s="35">
        <f t="shared" si="10"/>
        <v>0.6890243902</v>
      </c>
      <c r="Y12" s="36">
        <f t="shared" si="11"/>
        <v>11</v>
      </c>
      <c r="Z12" s="33">
        <v>550.0</v>
      </c>
      <c r="AA12" s="33">
        <v>383.0</v>
      </c>
      <c r="AB12" s="29">
        <f t="shared" si="12"/>
        <v>-167</v>
      </c>
      <c r="AC12" s="35">
        <f t="shared" si="13"/>
        <v>-0.3036363636</v>
      </c>
      <c r="AD12" s="36">
        <f t="shared" si="14"/>
        <v>26</v>
      </c>
      <c r="AE12" s="29">
        <f t="shared" si="15"/>
        <v>19.4</v>
      </c>
      <c r="AF12" s="33">
        <f t="shared" ref="AF12:AG12" si="50">K12</f>
        <v>36</v>
      </c>
      <c r="AG12" s="33">
        <f t="shared" si="50"/>
        <v>22</v>
      </c>
      <c r="AH12" s="34">
        <f t="shared" si="17"/>
        <v>-14</v>
      </c>
      <c r="AI12" s="35">
        <f t="shared" si="18"/>
        <v>-0.3888888889</v>
      </c>
      <c r="AJ12" s="33">
        <f t="shared" si="19"/>
        <v>0.9127191563</v>
      </c>
      <c r="AK12" s="36">
        <f t="shared" si="20"/>
        <v>19</v>
      </c>
      <c r="AL12" s="29">
        <f t="shared" ref="AL12:AM12" si="51">P12</f>
        <v>4</v>
      </c>
      <c r="AM12" s="29">
        <f t="shared" si="51"/>
        <v>5</v>
      </c>
      <c r="AN12" s="34">
        <f t="shared" si="22"/>
        <v>1</v>
      </c>
      <c r="AO12" s="35">
        <f t="shared" si="23"/>
        <v>0.25</v>
      </c>
      <c r="AP12" s="33">
        <f t="shared" si="24"/>
        <v>0.2074361719</v>
      </c>
      <c r="AQ12" s="36">
        <f t="shared" si="25"/>
        <v>32</v>
      </c>
      <c r="AR12" s="29">
        <v>164.0</v>
      </c>
      <c r="AS12" s="29">
        <v>277.0</v>
      </c>
      <c r="AT12" s="29">
        <f t="shared" si="26"/>
        <v>113</v>
      </c>
      <c r="AU12" s="35">
        <f t="shared" si="27"/>
        <v>0.6890243902</v>
      </c>
      <c r="AV12" s="33">
        <f t="shared" si="28"/>
        <v>11.49196392</v>
      </c>
      <c r="AW12" s="33">
        <f t="shared" si="46"/>
        <v>3.660119523</v>
      </c>
      <c r="AX12" s="36">
        <f t="shared" si="29"/>
        <v>22</v>
      </c>
      <c r="AY12" s="33">
        <v>550.0</v>
      </c>
      <c r="AZ12" s="33">
        <v>383.0</v>
      </c>
      <c r="BA12" s="29">
        <f t="shared" si="30"/>
        <v>-167</v>
      </c>
      <c r="BB12" s="35">
        <f t="shared" si="31"/>
        <v>-0.3036363636</v>
      </c>
      <c r="BC12" s="36">
        <f t="shared" si="32"/>
        <v>15.88961077</v>
      </c>
      <c r="BD12" s="33">
        <f t="shared" si="33"/>
        <v>4.407410562</v>
      </c>
      <c r="BE12" s="36">
        <f t="shared" si="34"/>
        <v>43</v>
      </c>
      <c r="BF12" s="29">
        <f t="shared" si="35"/>
        <v>30.4</v>
      </c>
      <c r="BH12" s="29">
        <f t="shared" si="47"/>
        <v>29.2</v>
      </c>
      <c r="BI12" s="1">
        <f t="shared" si="36"/>
        <v>32.5</v>
      </c>
      <c r="BJ12" s="1">
        <f t="shared" si="37"/>
        <v>4.033765043</v>
      </c>
      <c r="BK12" s="1">
        <f t="shared" si="38"/>
        <v>29</v>
      </c>
      <c r="BL12" s="3">
        <f t="shared" si="39"/>
        <v>4.688057485</v>
      </c>
      <c r="BM12" s="33">
        <f t="shared" si="40"/>
        <v>39</v>
      </c>
      <c r="BN12" s="3">
        <f t="shared" si="41"/>
        <v>-6.928368141</v>
      </c>
      <c r="BO12" s="33">
        <f t="shared" si="42"/>
        <v>15</v>
      </c>
      <c r="BP12" s="1">
        <f t="shared" si="43"/>
        <v>27</v>
      </c>
    </row>
    <row r="13">
      <c r="C13" s="29"/>
      <c r="D13" s="30" t="s">
        <v>48</v>
      </c>
      <c r="E13" s="31"/>
      <c r="F13" s="31"/>
      <c r="G13" s="31"/>
      <c r="H13" s="31"/>
      <c r="I13" s="31">
        <v>5.0</v>
      </c>
      <c r="J13" s="37">
        <v>121788.0</v>
      </c>
      <c r="K13" s="33">
        <v>4.0</v>
      </c>
      <c r="L13" s="33">
        <v>1.0</v>
      </c>
      <c r="M13" s="34">
        <v>-3.0</v>
      </c>
      <c r="N13" s="35">
        <f t="shared" si="4"/>
        <v>-0.75</v>
      </c>
      <c r="O13" s="36">
        <f t="shared" si="5"/>
        <v>38</v>
      </c>
      <c r="P13" s="29">
        <v>33.0</v>
      </c>
      <c r="Q13" s="29">
        <v>12.0</v>
      </c>
      <c r="R13" s="34">
        <f t="shared" si="6"/>
        <v>-21</v>
      </c>
      <c r="S13" s="35">
        <f t="shared" si="7"/>
        <v>-0.6363636364</v>
      </c>
      <c r="T13" s="36">
        <f t="shared" si="8"/>
        <v>17</v>
      </c>
      <c r="U13" s="29">
        <v>90.0</v>
      </c>
      <c r="V13" s="29">
        <v>108.0</v>
      </c>
      <c r="W13" s="29">
        <f t="shared" si="9"/>
        <v>18</v>
      </c>
      <c r="X13" s="35">
        <f t="shared" si="10"/>
        <v>0.2</v>
      </c>
      <c r="Y13" s="36">
        <f t="shared" si="11"/>
        <v>30</v>
      </c>
      <c r="Z13" s="33">
        <v>756.0</v>
      </c>
      <c r="AA13" s="33">
        <v>573.0</v>
      </c>
      <c r="AB13" s="29">
        <f t="shared" si="12"/>
        <v>-183</v>
      </c>
      <c r="AC13" s="35">
        <f t="shared" si="13"/>
        <v>-0.2420634921</v>
      </c>
      <c r="AD13" s="36">
        <f t="shared" si="14"/>
        <v>20</v>
      </c>
      <c r="AE13" s="29">
        <f t="shared" si="15"/>
        <v>25.75</v>
      </c>
      <c r="AF13" s="33">
        <f t="shared" ref="AF13:AG13" si="52">K13</f>
        <v>4</v>
      </c>
      <c r="AG13" s="33">
        <f t="shared" si="52"/>
        <v>1</v>
      </c>
      <c r="AH13" s="34">
        <f t="shared" si="17"/>
        <v>-3</v>
      </c>
      <c r="AI13" s="35">
        <f t="shared" si="18"/>
        <v>-0.75</v>
      </c>
      <c r="AJ13" s="33">
        <f t="shared" si="19"/>
        <v>0.08210989588</v>
      </c>
      <c r="AK13" s="36">
        <f t="shared" si="20"/>
        <v>44</v>
      </c>
      <c r="AL13" s="29">
        <f t="shared" ref="AL13:AM13" si="53">P13</f>
        <v>33</v>
      </c>
      <c r="AM13" s="29">
        <f t="shared" si="53"/>
        <v>12</v>
      </c>
      <c r="AN13" s="34">
        <f t="shared" si="22"/>
        <v>-21</v>
      </c>
      <c r="AO13" s="35">
        <f t="shared" si="23"/>
        <v>-0.6363636364</v>
      </c>
      <c r="AP13" s="33">
        <f t="shared" si="24"/>
        <v>0.9853187506</v>
      </c>
      <c r="AQ13" s="36">
        <f t="shared" si="25"/>
        <v>13</v>
      </c>
      <c r="AR13" s="29">
        <v>90.0</v>
      </c>
      <c r="AS13" s="29">
        <v>108.0</v>
      </c>
      <c r="AT13" s="29">
        <f t="shared" si="26"/>
        <v>18</v>
      </c>
      <c r="AU13" s="35">
        <f t="shared" si="27"/>
        <v>0.2</v>
      </c>
      <c r="AV13" s="33">
        <f t="shared" si="28"/>
        <v>8.867868756</v>
      </c>
      <c r="AW13" s="33">
        <f t="shared" si="46"/>
        <v>3.966070178</v>
      </c>
      <c r="AX13" s="36">
        <f t="shared" si="29"/>
        <v>28</v>
      </c>
      <c r="AY13" s="33">
        <v>756.0</v>
      </c>
      <c r="AZ13" s="33">
        <v>573.0</v>
      </c>
      <c r="BA13" s="29">
        <f t="shared" si="30"/>
        <v>-183</v>
      </c>
      <c r="BB13" s="35">
        <f t="shared" si="31"/>
        <v>-0.2420634921</v>
      </c>
      <c r="BC13" s="36">
        <f t="shared" si="32"/>
        <v>47.04897034</v>
      </c>
      <c r="BD13" s="33">
        <f t="shared" si="33"/>
        <v>3.245348909</v>
      </c>
      <c r="BE13" s="36">
        <f t="shared" si="34"/>
        <v>13</v>
      </c>
      <c r="BF13" s="29">
        <f t="shared" si="35"/>
        <v>22.9</v>
      </c>
      <c r="BH13" s="29">
        <f t="shared" si="47"/>
        <v>22.6</v>
      </c>
      <c r="BI13" s="1">
        <f t="shared" si="36"/>
        <v>20.5</v>
      </c>
      <c r="BJ13" s="1">
        <f t="shared" si="37"/>
        <v>3.605709543</v>
      </c>
      <c r="BK13" s="1">
        <f t="shared" si="38"/>
        <v>18</v>
      </c>
      <c r="BL13" s="3">
        <f t="shared" si="39"/>
        <v>1.477978126</v>
      </c>
      <c r="BM13" s="33">
        <f t="shared" si="40"/>
        <v>25</v>
      </c>
      <c r="BN13" s="3">
        <f t="shared" si="41"/>
        <v>-15.02611095</v>
      </c>
      <c r="BO13" s="33">
        <f t="shared" si="42"/>
        <v>11</v>
      </c>
      <c r="BP13" s="1">
        <f t="shared" si="43"/>
        <v>18</v>
      </c>
    </row>
    <row r="14">
      <c r="C14" s="29"/>
      <c r="D14" s="30" t="s">
        <v>49</v>
      </c>
      <c r="E14" s="31"/>
      <c r="F14" s="31"/>
      <c r="G14" s="31"/>
      <c r="H14" s="31"/>
      <c r="I14" s="31">
        <v>12.0</v>
      </c>
      <c r="J14" s="27">
        <v>414189.0</v>
      </c>
      <c r="K14" s="33">
        <v>4.0</v>
      </c>
      <c r="L14" s="33">
        <v>0.0</v>
      </c>
      <c r="M14" s="34">
        <v>-4.0</v>
      </c>
      <c r="N14" s="35">
        <f t="shared" si="4"/>
        <v>-1</v>
      </c>
      <c r="O14" s="36">
        <f t="shared" si="5"/>
        <v>47</v>
      </c>
      <c r="P14" s="29">
        <v>6.0</v>
      </c>
      <c r="Q14" s="29">
        <v>2.0</v>
      </c>
      <c r="R14" s="34">
        <f t="shared" si="6"/>
        <v>-4</v>
      </c>
      <c r="S14" s="35">
        <f t="shared" si="7"/>
        <v>-0.6666666667</v>
      </c>
      <c r="T14" s="36">
        <f t="shared" si="8"/>
        <v>31</v>
      </c>
      <c r="U14" s="29">
        <v>163.0</v>
      </c>
      <c r="V14" s="29">
        <v>133.0</v>
      </c>
      <c r="W14" s="29">
        <f t="shared" si="9"/>
        <v>-30</v>
      </c>
      <c r="X14" s="35">
        <f t="shared" si="10"/>
        <v>-0.1840490798</v>
      </c>
      <c r="Y14" s="36">
        <f t="shared" si="11"/>
        <v>25</v>
      </c>
      <c r="Z14" s="33">
        <v>482.0</v>
      </c>
      <c r="AA14" s="33">
        <v>573.0</v>
      </c>
      <c r="AB14" s="29">
        <f t="shared" si="12"/>
        <v>91</v>
      </c>
      <c r="AC14" s="35">
        <f t="shared" si="13"/>
        <v>0.1887966805</v>
      </c>
      <c r="AD14" s="36">
        <f t="shared" si="14"/>
        <v>20</v>
      </c>
      <c r="AE14" s="29">
        <f t="shared" si="15"/>
        <v>27.45</v>
      </c>
      <c r="AF14" s="33">
        <f t="shared" ref="AF14:AG14" si="54">K14</f>
        <v>4</v>
      </c>
      <c r="AG14" s="33">
        <f t="shared" si="54"/>
        <v>0</v>
      </c>
      <c r="AH14" s="34">
        <f t="shared" si="17"/>
        <v>-4</v>
      </c>
      <c r="AI14" s="35">
        <f t="shared" si="18"/>
        <v>-1</v>
      </c>
      <c r="AJ14" s="33">
        <f t="shared" si="19"/>
        <v>0</v>
      </c>
      <c r="AK14" s="36">
        <f t="shared" si="20"/>
        <v>47</v>
      </c>
      <c r="AL14" s="29">
        <f t="shared" ref="AL14:AM14" si="55">P14</f>
        <v>6</v>
      </c>
      <c r="AM14" s="29">
        <f t="shared" si="55"/>
        <v>2</v>
      </c>
      <c r="AN14" s="34">
        <f t="shared" si="22"/>
        <v>-4</v>
      </c>
      <c r="AO14" s="35">
        <f t="shared" si="23"/>
        <v>-0.6666666667</v>
      </c>
      <c r="AP14" s="33">
        <f t="shared" si="24"/>
        <v>0.04828713462</v>
      </c>
      <c r="AQ14" s="36">
        <f t="shared" si="25"/>
        <v>36</v>
      </c>
      <c r="AR14" s="29">
        <v>163.0</v>
      </c>
      <c r="AS14" s="29">
        <v>133.0</v>
      </c>
      <c r="AT14" s="29">
        <f t="shared" si="26"/>
        <v>-30</v>
      </c>
      <c r="AU14" s="35">
        <f t="shared" si="27"/>
        <v>-0.1840490798</v>
      </c>
      <c r="AV14" s="33">
        <f t="shared" si="28"/>
        <v>3.211094452</v>
      </c>
      <c r="AW14" s="33">
        <f t="shared" si="46"/>
        <v>4.625609444</v>
      </c>
      <c r="AX14" s="36">
        <f t="shared" si="29"/>
        <v>48</v>
      </c>
      <c r="AY14" s="33">
        <v>482.0</v>
      </c>
      <c r="AZ14" s="33">
        <v>573.0</v>
      </c>
      <c r="BA14" s="29">
        <f t="shared" si="30"/>
        <v>91</v>
      </c>
      <c r="BB14" s="35">
        <f t="shared" si="31"/>
        <v>0.1887966805</v>
      </c>
      <c r="BC14" s="36">
        <f t="shared" si="32"/>
        <v>13.83426407</v>
      </c>
      <c r="BD14" s="33">
        <f t="shared" si="33"/>
        <v>4.484062959</v>
      </c>
      <c r="BE14" s="36">
        <f t="shared" si="34"/>
        <v>44</v>
      </c>
      <c r="BF14" s="29">
        <f t="shared" si="35"/>
        <v>44.65</v>
      </c>
      <c r="BH14" s="29">
        <f t="shared" si="47"/>
        <v>43.9</v>
      </c>
      <c r="BI14" s="1">
        <f t="shared" si="36"/>
        <v>46</v>
      </c>
      <c r="BJ14" s="1">
        <f t="shared" si="37"/>
        <v>4.554836201</v>
      </c>
      <c r="BK14" s="1">
        <f t="shared" si="38"/>
        <v>46</v>
      </c>
      <c r="BL14" s="3">
        <f t="shared" si="39"/>
        <v>-0.7243070193</v>
      </c>
      <c r="BM14" s="33">
        <f t="shared" si="40"/>
        <v>7</v>
      </c>
      <c r="BN14" s="3">
        <f t="shared" si="41"/>
        <v>2.197064625</v>
      </c>
      <c r="BO14" s="33">
        <f t="shared" si="42"/>
        <v>38</v>
      </c>
      <c r="BP14" s="1">
        <f t="shared" si="43"/>
        <v>22.5</v>
      </c>
    </row>
    <row r="15">
      <c r="C15" s="29"/>
      <c r="D15" s="30" t="s">
        <v>50</v>
      </c>
      <c r="E15" s="31"/>
      <c r="F15" s="31"/>
      <c r="G15" s="31"/>
      <c r="H15" s="31"/>
      <c r="I15" s="31">
        <v>11.0</v>
      </c>
      <c r="J15" s="27">
        <v>309204.0</v>
      </c>
      <c r="K15" s="33">
        <v>8.0</v>
      </c>
      <c r="L15" s="33">
        <v>4.0</v>
      </c>
      <c r="M15" s="34">
        <v>-4.0</v>
      </c>
      <c r="N15" s="35">
        <f t="shared" si="4"/>
        <v>-0.5</v>
      </c>
      <c r="O15" s="36">
        <f t="shared" si="5"/>
        <v>34</v>
      </c>
      <c r="P15" s="29">
        <v>7.0</v>
      </c>
      <c r="Q15" s="29">
        <v>0.0</v>
      </c>
      <c r="R15" s="34">
        <f t="shared" si="6"/>
        <v>-7</v>
      </c>
      <c r="S15" s="35">
        <f t="shared" si="7"/>
        <v>-1</v>
      </c>
      <c r="T15" s="36">
        <f t="shared" si="8"/>
        <v>38</v>
      </c>
      <c r="U15" s="29">
        <v>167.0</v>
      </c>
      <c r="V15" s="29">
        <v>192.0</v>
      </c>
      <c r="W15" s="29">
        <f t="shared" si="9"/>
        <v>25</v>
      </c>
      <c r="X15" s="35">
        <f t="shared" si="10"/>
        <v>0.1497005988</v>
      </c>
      <c r="Y15" s="36">
        <f t="shared" si="11"/>
        <v>22</v>
      </c>
      <c r="Z15" s="33">
        <v>635.0</v>
      </c>
      <c r="AA15" s="33">
        <v>400.0</v>
      </c>
      <c r="AB15" s="29">
        <f t="shared" si="12"/>
        <v>-235</v>
      </c>
      <c r="AC15" s="35">
        <f t="shared" si="13"/>
        <v>-0.3700787402</v>
      </c>
      <c r="AD15" s="36">
        <f t="shared" si="14"/>
        <v>25</v>
      </c>
      <c r="AE15" s="29">
        <f t="shared" si="15"/>
        <v>27.25</v>
      </c>
      <c r="AF15" s="33">
        <f t="shared" ref="AF15:AG15" si="56">K15</f>
        <v>8</v>
      </c>
      <c r="AG15" s="33">
        <f t="shared" si="56"/>
        <v>4</v>
      </c>
      <c r="AH15" s="34">
        <f t="shared" si="17"/>
        <v>-4</v>
      </c>
      <c r="AI15" s="35">
        <f t="shared" si="18"/>
        <v>-0.5</v>
      </c>
      <c r="AJ15" s="33">
        <f t="shared" si="19"/>
        <v>0.1293644325</v>
      </c>
      <c r="AK15" s="36">
        <f t="shared" si="20"/>
        <v>42</v>
      </c>
      <c r="AL15" s="29">
        <f t="shared" ref="AL15:AM15" si="57">P15</f>
        <v>7</v>
      </c>
      <c r="AM15" s="29">
        <f t="shared" si="57"/>
        <v>0</v>
      </c>
      <c r="AN15" s="34">
        <f t="shared" si="22"/>
        <v>-7</v>
      </c>
      <c r="AO15" s="35">
        <f t="shared" si="23"/>
        <v>-1</v>
      </c>
      <c r="AP15" s="33">
        <f t="shared" si="24"/>
        <v>0</v>
      </c>
      <c r="AQ15" s="36">
        <f t="shared" si="25"/>
        <v>38</v>
      </c>
      <c r="AR15" s="29">
        <v>167.0</v>
      </c>
      <c r="AS15" s="29">
        <v>192.0</v>
      </c>
      <c r="AT15" s="29">
        <f t="shared" si="26"/>
        <v>25</v>
      </c>
      <c r="AU15" s="35">
        <f t="shared" si="27"/>
        <v>0.1497005988</v>
      </c>
      <c r="AV15" s="33">
        <f t="shared" si="28"/>
        <v>6.209492762</v>
      </c>
      <c r="AW15" s="33">
        <f t="shared" si="46"/>
        <v>4.27601773</v>
      </c>
      <c r="AX15" s="36">
        <f t="shared" si="29"/>
        <v>39</v>
      </c>
      <c r="AY15" s="33">
        <v>635.0</v>
      </c>
      <c r="AZ15" s="33">
        <v>400.0</v>
      </c>
      <c r="BA15" s="29">
        <f t="shared" si="30"/>
        <v>-235</v>
      </c>
      <c r="BB15" s="35">
        <f t="shared" si="31"/>
        <v>-0.3700787402</v>
      </c>
      <c r="BC15" s="36">
        <f t="shared" si="32"/>
        <v>12.93644325</v>
      </c>
      <c r="BD15" s="33">
        <f t="shared" si="33"/>
        <v>4.517546418</v>
      </c>
      <c r="BE15" s="36">
        <f t="shared" si="34"/>
        <v>46</v>
      </c>
      <c r="BF15" s="29">
        <f t="shared" si="35"/>
        <v>41.75</v>
      </c>
      <c r="BH15" s="29">
        <f t="shared" si="47"/>
        <v>40.55</v>
      </c>
      <c r="BI15" s="1">
        <f t="shared" si="36"/>
        <v>42.5</v>
      </c>
      <c r="BJ15" s="1">
        <f t="shared" si="37"/>
        <v>4.396782074</v>
      </c>
      <c r="BK15" s="1">
        <f t="shared" si="38"/>
        <v>43</v>
      </c>
      <c r="BL15" s="3">
        <f t="shared" si="39"/>
        <v>0.8085277034</v>
      </c>
      <c r="BM15" s="33">
        <f t="shared" si="40"/>
        <v>18</v>
      </c>
      <c r="BN15" s="3">
        <f t="shared" si="41"/>
        <v>-7.600160412</v>
      </c>
      <c r="BO15" s="33">
        <f t="shared" si="42"/>
        <v>14</v>
      </c>
      <c r="BP15" s="1">
        <f t="shared" si="43"/>
        <v>16</v>
      </c>
    </row>
    <row r="16">
      <c r="C16" s="29"/>
      <c r="D16" s="30" t="s">
        <v>51</v>
      </c>
      <c r="E16" s="31"/>
      <c r="F16" s="31"/>
      <c r="G16" s="31"/>
      <c r="H16" s="31"/>
      <c r="I16" s="31">
        <v>9.0</v>
      </c>
      <c r="J16" s="27">
        <v>222807.0</v>
      </c>
      <c r="K16" s="33">
        <v>16.0</v>
      </c>
      <c r="L16" s="33">
        <v>20.0</v>
      </c>
      <c r="M16" s="34">
        <v>4.0</v>
      </c>
      <c r="N16" s="35">
        <f t="shared" si="4"/>
        <v>0.25</v>
      </c>
      <c r="O16" s="36">
        <f t="shared" si="5"/>
        <v>18</v>
      </c>
      <c r="P16" s="29">
        <v>12.0</v>
      </c>
      <c r="Q16" s="29">
        <v>16.0</v>
      </c>
      <c r="R16" s="34">
        <f t="shared" si="6"/>
        <v>4</v>
      </c>
      <c r="S16" s="35">
        <f t="shared" si="7"/>
        <v>0.3333333333</v>
      </c>
      <c r="T16" s="36">
        <f t="shared" si="8"/>
        <v>14</v>
      </c>
      <c r="U16" s="29">
        <v>239.0</v>
      </c>
      <c r="V16" s="29">
        <v>324.0</v>
      </c>
      <c r="W16" s="29">
        <f t="shared" si="9"/>
        <v>85</v>
      </c>
      <c r="X16" s="35">
        <f t="shared" si="10"/>
        <v>0.3556485356</v>
      </c>
      <c r="Y16" s="36">
        <f t="shared" si="11"/>
        <v>8</v>
      </c>
      <c r="Z16" s="33">
        <v>2294.0</v>
      </c>
      <c r="AA16" s="33">
        <v>1299.0</v>
      </c>
      <c r="AB16" s="29">
        <f t="shared" si="12"/>
        <v>-995</v>
      </c>
      <c r="AC16" s="35">
        <f t="shared" si="13"/>
        <v>-0.4337401918</v>
      </c>
      <c r="AD16" s="36">
        <f t="shared" si="14"/>
        <v>7</v>
      </c>
      <c r="AE16" s="29">
        <f t="shared" si="15"/>
        <v>10.05</v>
      </c>
      <c r="AF16" s="33">
        <f t="shared" ref="AF16:AG16" si="58">K16</f>
        <v>16</v>
      </c>
      <c r="AG16" s="33">
        <f t="shared" si="58"/>
        <v>20</v>
      </c>
      <c r="AH16" s="34">
        <f t="shared" si="17"/>
        <v>4</v>
      </c>
      <c r="AI16" s="35">
        <f t="shared" si="18"/>
        <v>0.25</v>
      </c>
      <c r="AJ16" s="33">
        <f t="shared" si="19"/>
        <v>0.897637866</v>
      </c>
      <c r="AK16" s="36">
        <f t="shared" si="20"/>
        <v>21</v>
      </c>
      <c r="AL16" s="29">
        <f t="shared" ref="AL16:AM16" si="59">P16</f>
        <v>12</v>
      </c>
      <c r="AM16" s="29">
        <f t="shared" si="59"/>
        <v>16</v>
      </c>
      <c r="AN16" s="34">
        <f t="shared" si="22"/>
        <v>4</v>
      </c>
      <c r="AO16" s="35">
        <f t="shared" si="23"/>
        <v>0.3333333333</v>
      </c>
      <c r="AP16" s="33">
        <f t="shared" si="24"/>
        <v>0.7181102928</v>
      </c>
      <c r="AQ16" s="36">
        <f t="shared" si="25"/>
        <v>18</v>
      </c>
      <c r="AR16" s="29">
        <v>239.0</v>
      </c>
      <c r="AS16" s="29">
        <v>324.0</v>
      </c>
      <c r="AT16" s="29">
        <f t="shared" si="26"/>
        <v>85</v>
      </c>
      <c r="AU16" s="35">
        <f t="shared" si="27"/>
        <v>0.3556485356</v>
      </c>
      <c r="AV16" s="33">
        <f t="shared" si="28"/>
        <v>14.54173343</v>
      </c>
      <c r="AW16" s="33">
        <f t="shared" si="46"/>
        <v>3.304538297</v>
      </c>
      <c r="AX16" s="36">
        <f t="shared" si="29"/>
        <v>13</v>
      </c>
      <c r="AY16" s="33">
        <v>2294.0</v>
      </c>
      <c r="AZ16" s="33">
        <v>1299.0</v>
      </c>
      <c r="BA16" s="29">
        <f t="shared" si="30"/>
        <v>-995</v>
      </c>
      <c r="BB16" s="35">
        <f t="shared" si="31"/>
        <v>-0.4337401918</v>
      </c>
      <c r="BC16" s="36">
        <f t="shared" si="32"/>
        <v>58.30157939</v>
      </c>
      <c r="BD16" s="33">
        <f t="shared" si="33"/>
        <v>2.825692482</v>
      </c>
      <c r="BE16" s="36">
        <f t="shared" si="34"/>
        <v>9</v>
      </c>
      <c r="BF16" s="29">
        <f t="shared" si="35"/>
        <v>13.55</v>
      </c>
      <c r="BH16" s="29">
        <f t="shared" si="47"/>
        <v>12.5</v>
      </c>
      <c r="BI16" s="1">
        <f t="shared" si="36"/>
        <v>11</v>
      </c>
      <c r="BJ16" s="1">
        <f t="shared" si="37"/>
        <v>3.06511539</v>
      </c>
      <c r="BK16" s="1">
        <f t="shared" si="38"/>
        <v>12</v>
      </c>
      <c r="BL16" s="3">
        <f t="shared" si="39"/>
        <v>3.81496093</v>
      </c>
      <c r="BM16" s="33">
        <f t="shared" si="40"/>
        <v>36</v>
      </c>
      <c r="BN16" s="3">
        <f t="shared" si="41"/>
        <v>-44.65748383</v>
      </c>
      <c r="BO16" s="33">
        <f t="shared" si="42"/>
        <v>5</v>
      </c>
      <c r="BP16" s="1">
        <f t="shared" si="43"/>
        <v>20.5</v>
      </c>
    </row>
    <row r="17">
      <c r="C17" s="29"/>
      <c r="D17" s="30" t="s">
        <v>52</v>
      </c>
      <c r="E17" s="31"/>
      <c r="F17" s="31"/>
      <c r="G17" s="31"/>
      <c r="H17" s="31"/>
      <c r="I17" s="31">
        <v>6.0</v>
      </c>
      <c r="J17" s="27">
        <v>350268.0</v>
      </c>
      <c r="K17" s="33">
        <v>27.0</v>
      </c>
      <c r="L17" s="33">
        <v>22.0</v>
      </c>
      <c r="M17" s="34">
        <v>-5.0</v>
      </c>
      <c r="N17" s="35">
        <f t="shared" si="4"/>
        <v>-0.1851851852</v>
      </c>
      <c r="O17" s="36">
        <f t="shared" si="5"/>
        <v>16</v>
      </c>
      <c r="P17" s="29">
        <v>12.0</v>
      </c>
      <c r="Q17" s="29">
        <v>19.0</v>
      </c>
      <c r="R17" s="34">
        <f t="shared" si="6"/>
        <v>7</v>
      </c>
      <c r="S17" s="35">
        <f t="shared" si="7"/>
        <v>0.5833333333</v>
      </c>
      <c r="T17" s="36">
        <f t="shared" si="8"/>
        <v>10</v>
      </c>
      <c r="U17" s="29">
        <v>481.0</v>
      </c>
      <c r="V17" s="29">
        <v>460.0</v>
      </c>
      <c r="W17" s="29">
        <f t="shared" si="9"/>
        <v>-21</v>
      </c>
      <c r="X17" s="35">
        <f t="shared" si="10"/>
        <v>-0.04365904366</v>
      </c>
      <c r="Y17" s="36">
        <f t="shared" si="11"/>
        <v>5</v>
      </c>
      <c r="Z17" s="33">
        <v>1824.0</v>
      </c>
      <c r="AA17" s="33">
        <v>907.0</v>
      </c>
      <c r="AB17" s="29">
        <f t="shared" si="12"/>
        <v>-917</v>
      </c>
      <c r="AC17" s="35">
        <f t="shared" si="13"/>
        <v>-0.5027412281</v>
      </c>
      <c r="AD17" s="36">
        <f t="shared" si="14"/>
        <v>12</v>
      </c>
      <c r="AE17" s="29">
        <f t="shared" si="15"/>
        <v>9.85</v>
      </c>
      <c r="AF17" s="33">
        <f t="shared" ref="AF17:AG17" si="60">K17</f>
        <v>27</v>
      </c>
      <c r="AG17" s="33">
        <f t="shared" si="60"/>
        <v>22</v>
      </c>
      <c r="AH17" s="34">
        <f t="shared" si="17"/>
        <v>-5</v>
      </c>
      <c r="AI17" s="35">
        <f t="shared" si="18"/>
        <v>-0.1851851852</v>
      </c>
      <c r="AJ17" s="33">
        <f t="shared" si="19"/>
        <v>0.6280904907</v>
      </c>
      <c r="AK17" s="36">
        <f t="shared" si="20"/>
        <v>28</v>
      </c>
      <c r="AL17" s="29">
        <f t="shared" ref="AL17:AM17" si="61">P17</f>
        <v>12</v>
      </c>
      <c r="AM17" s="29">
        <f t="shared" si="61"/>
        <v>19</v>
      </c>
      <c r="AN17" s="34">
        <f t="shared" si="22"/>
        <v>7</v>
      </c>
      <c r="AO17" s="35">
        <f t="shared" si="23"/>
        <v>0.5833333333</v>
      </c>
      <c r="AP17" s="33">
        <f t="shared" si="24"/>
        <v>0.5424417874</v>
      </c>
      <c r="AQ17" s="36">
        <f t="shared" si="25"/>
        <v>21</v>
      </c>
      <c r="AR17" s="29">
        <v>481.0</v>
      </c>
      <c r="AS17" s="29">
        <v>460.0</v>
      </c>
      <c r="AT17" s="29">
        <f t="shared" si="26"/>
        <v>-21</v>
      </c>
      <c r="AU17" s="35">
        <f t="shared" si="27"/>
        <v>-0.04365904366</v>
      </c>
      <c r="AV17" s="33">
        <f t="shared" si="28"/>
        <v>13.13280117</v>
      </c>
      <c r="AW17" s="33">
        <f t="shared" si="46"/>
        <v>3.468809682</v>
      </c>
      <c r="AX17" s="36">
        <f t="shared" si="29"/>
        <v>15</v>
      </c>
      <c r="AY17" s="33">
        <v>1824.0</v>
      </c>
      <c r="AZ17" s="33">
        <v>907.0</v>
      </c>
      <c r="BA17" s="29">
        <f t="shared" si="30"/>
        <v>-917</v>
      </c>
      <c r="BB17" s="35">
        <f t="shared" si="31"/>
        <v>-0.5027412281</v>
      </c>
      <c r="BC17" s="36">
        <f t="shared" si="32"/>
        <v>25.89445796</v>
      </c>
      <c r="BD17" s="33">
        <f t="shared" si="33"/>
        <v>4.034288347</v>
      </c>
      <c r="BE17" s="36">
        <f t="shared" si="34"/>
        <v>26</v>
      </c>
      <c r="BF17" s="29">
        <f t="shared" si="35"/>
        <v>21.7</v>
      </c>
      <c r="BH17" s="29">
        <f t="shared" si="47"/>
        <v>18.25</v>
      </c>
      <c r="BI17" s="1">
        <f t="shared" si="36"/>
        <v>20.5</v>
      </c>
      <c r="BJ17" s="1">
        <f t="shared" si="37"/>
        <v>3.751549015</v>
      </c>
      <c r="BK17" s="1">
        <f t="shared" si="38"/>
        <v>24</v>
      </c>
      <c r="BL17" s="3">
        <f t="shared" si="39"/>
        <v>-0.599540923</v>
      </c>
      <c r="BM17" s="33">
        <f t="shared" si="40"/>
        <v>8</v>
      </c>
      <c r="BN17" s="3">
        <f t="shared" si="41"/>
        <v>-26.17995364</v>
      </c>
      <c r="BO17" s="33">
        <f t="shared" si="42"/>
        <v>8</v>
      </c>
      <c r="BP17" s="1">
        <f t="shared" si="43"/>
        <v>8</v>
      </c>
    </row>
    <row r="18">
      <c r="C18" s="29"/>
      <c r="D18" s="30" t="s">
        <v>53</v>
      </c>
      <c r="E18" s="31"/>
      <c r="F18" s="31"/>
      <c r="G18" s="31"/>
      <c r="H18" s="31"/>
      <c r="I18" s="31">
        <v>2.0</v>
      </c>
      <c r="J18" s="27">
        <v>237574.0</v>
      </c>
      <c r="K18" s="33">
        <v>19.0</v>
      </c>
      <c r="L18" s="33">
        <v>15.0</v>
      </c>
      <c r="M18" s="34">
        <v>-4.0</v>
      </c>
      <c r="N18" s="35">
        <f t="shared" si="4"/>
        <v>-0.2105263158</v>
      </c>
      <c r="O18" s="36">
        <f t="shared" si="5"/>
        <v>20</v>
      </c>
      <c r="P18" s="29">
        <v>1.0</v>
      </c>
      <c r="Q18" s="29">
        <v>31.0</v>
      </c>
      <c r="R18" s="34">
        <f t="shared" si="6"/>
        <v>30</v>
      </c>
      <c r="S18" s="35">
        <f t="shared" si="7"/>
        <v>30</v>
      </c>
      <c r="T18" s="36">
        <f t="shared" si="8"/>
        <v>6</v>
      </c>
      <c r="U18" s="29">
        <v>210.0</v>
      </c>
      <c r="V18" s="29">
        <v>179.0</v>
      </c>
      <c r="W18" s="29">
        <f t="shared" si="9"/>
        <v>-31</v>
      </c>
      <c r="X18" s="35">
        <f t="shared" si="10"/>
        <v>-0.1476190476</v>
      </c>
      <c r="Y18" s="36">
        <f t="shared" si="11"/>
        <v>23</v>
      </c>
      <c r="Z18" s="33">
        <v>583.0</v>
      </c>
      <c r="AA18" s="33">
        <v>456.0</v>
      </c>
      <c r="AB18" s="29">
        <f t="shared" si="12"/>
        <v>-127</v>
      </c>
      <c r="AC18" s="35">
        <f t="shared" si="13"/>
        <v>-0.217838765</v>
      </c>
      <c r="AD18" s="36">
        <f t="shared" si="14"/>
        <v>23</v>
      </c>
      <c r="AE18" s="29">
        <f t="shared" si="15"/>
        <v>20</v>
      </c>
      <c r="AF18" s="33">
        <f t="shared" ref="AF18:AG18" si="62">K18</f>
        <v>19</v>
      </c>
      <c r="AG18" s="33">
        <f t="shared" si="62"/>
        <v>15</v>
      </c>
      <c r="AH18" s="34">
        <f t="shared" si="17"/>
        <v>-4</v>
      </c>
      <c r="AI18" s="35">
        <f t="shared" si="18"/>
        <v>-0.2105263158</v>
      </c>
      <c r="AJ18" s="33">
        <f t="shared" si="19"/>
        <v>0.631382222</v>
      </c>
      <c r="AK18" s="36">
        <f t="shared" si="20"/>
        <v>27</v>
      </c>
      <c r="AL18" s="29">
        <f t="shared" ref="AL18:AM18" si="63">P18</f>
        <v>1</v>
      </c>
      <c r="AM18" s="29">
        <f t="shared" si="63"/>
        <v>31</v>
      </c>
      <c r="AN18" s="34">
        <f t="shared" si="22"/>
        <v>30</v>
      </c>
      <c r="AO18" s="35">
        <f t="shared" si="23"/>
        <v>30</v>
      </c>
      <c r="AP18" s="33">
        <f t="shared" si="24"/>
        <v>1.304856592</v>
      </c>
      <c r="AQ18" s="36">
        <f t="shared" si="25"/>
        <v>10</v>
      </c>
      <c r="AR18" s="29">
        <v>210.0</v>
      </c>
      <c r="AS18" s="29">
        <v>179.0</v>
      </c>
      <c r="AT18" s="29">
        <f t="shared" si="26"/>
        <v>-31</v>
      </c>
      <c r="AU18" s="35">
        <f t="shared" si="27"/>
        <v>-0.1476190476</v>
      </c>
      <c r="AV18" s="33">
        <f t="shared" si="28"/>
        <v>7.534494515</v>
      </c>
      <c r="AW18" s="33">
        <f t="shared" si="46"/>
        <v>4.12153204</v>
      </c>
      <c r="AX18" s="36">
        <f t="shared" si="29"/>
        <v>36</v>
      </c>
      <c r="AY18" s="33">
        <v>583.0</v>
      </c>
      <c r="AZ18" s="33">
        <v>456.0</v>
      </c>
      <c r="BA18" s="29">
        <f t="shared" si="30"/>
        <v>-127</v>
      </c>
      <c r="BB18" s="35">
        <f t="shared" si="31"/>
        <v>-0.217838765</v>
      </c>
      <c r="BC18" s="36">
        <f t="shared" si="32"/>
        <v>19.19401955</v>
      </c>
      <c r="BD18" s="33">
        <f t="shared" si="33"/>
        <v>4.284175464</v>
      </c>
      <c r="BE18" s="36">
        <f t="shared" si="34"/>
        <v>39</v>
      </c>
      <c r="BF18" s="29">
        <f t="shared" si="35"/>
        <v>31.8</v>
      </c>
      <c r="BH18" s="29">
        <f t="shared" si="47"/>
        <v>30.15</v>
      </c>
      <c r="BI18" s="1">
        <f t="shared" si="36"/>
        <v>37.5</v>
      </c>
      <c r="BJ18" s="1">
        <f t="shared" si="37"/>
        <v>4.202853752</v>
      </c>
      <c r="BK18" s="1">
        <f t="shared" si="38"/>
        <v>39</v>
      </c>
      <c r="BL18" s="3">
        <f t="shared" si="39"/>
        <v>-1.304856592</v>
      </c>
      <c r="BM18" s="33">
        <f t="shared" si="40"/>
        <v>4</v>
      </c>
      <c r="BN18" s="3">
        <f t="shared" si="41"/>
        <v>-5.345702813</v>
      </c>
      <c r="BO18" s="33">
        <f t="shared" si="42"/>
        <v>18</v>
      </c>
      <c r="BP18" s="1">
        <f t="shared" si="43"/>
        <v>11</v>
      </c>
    </row>
    <row r="19">
      <c r="C19" s="29"/>
      <c r="D19" s="30" t="s">
        <v>54</v>
      </c>
      <c r="E19" s="31"/>
      <c r="F19" s="31"/>
      <c r="G19" s="31"/>
      <c r="H19" s="31"/>
      <c r="I19" s="31">
        <v>1.0</v>
      </c>
      <c r="J19" s="27">
        <v>118268.0</v>
      </c>
      <c r="K19" s="33">
        <v>14.0</v>
      </c>
      <c r="L19" s="33">
        <v>23.0</v>
      </c>
      <c r="M19" s="34">
        <v>9.0</v>
      </c>
      <c r="N19" s="35">
        <f t="shared" si="4"/>
        <v>0.6428571429</v>
      </c>
      <c r="O19" s="36">
        <f t="shared" si="5"/>
        <v>14</v>
      </c>
      <c r="P19" s="29">
        <v>12.0</v>
      </c>
      <c r="Q19" s="29">
        <v>22.0</v>
      </c>
      <c r="R19" s="34">
        <f t="shared" si="6"/>
        <v>10</v>
      </c>
      <c r="S19" s="35">
        <f t="shared" si="7"/>
        <v>0.8333333333</v>
      </c>
      <c r="T19" s="36">
        <f t="shared" si="8"/>
        <v>9</v>
      </c>
      <c r="U19" s="29">
        <v>196.0</v>
      </c>
      <c r="V19" s="29">
        <v>312.0</v>
      </c>
      <c r="W19" s="29">
        <f t="shared" si="9"/>
        <v>116</v>
      </c>
      <c r="X19" s="35">
        <f t="shared" si="10"/>
        <v>0.5918367347</v>
      </c>
      <c r="Y19" s="36">
        <f t="shared" si="11"/>
        <v>10</v>
      </c>
      <c r="Z19" s="33">
        <v>2437.0</v>
      </c>
      <c r="AA19" s="33">
        <v>1384.0</v>
      </c>
      <c r="AB19" s="29">
        <f t="shared" si="12"/>
        <v>-1053</v>
      </c>
      <c r="AC19" s="35">
        <f t="shared" si="13"/>
        <v>-0.4320886336</v>
      </c>
      <c r="AD19" s="36">
        <f t="shared" si="14"/>
        <v>5</v>
      </c>
      <c r="AE19" s="29">
        <f t="shared" si="15"/>
        <v>8.7</v>
      </c>
      <c r="AF19" s="33">
        <f t="shared" ref="AF19:AG19" si="64">K19</f>
        <v>14</v>
      </c>
      <c r="AG19" s="33">
        <f t="shared" si="64"/>
        <v>23</v>
      </c>
      <c r="AH19" s="34">
        <f t="shared" si="17"/>
        <v>9</v>
      </c>
      <c r="AI19" s="35">
        <f t="shared" si="18"/>
        <v>0.6428571429</v>
      </c>
      <c r="AJ19" s="33">
        <f t="shared" si="19"/>
        <v>1.944735685</v>
      </c>
      <c r="AK19" s="36">
        <f t="shared" si="20"/>
        <v>5</v>
      </c>
      <c r="AL19" s="29">
        <f t="shared" ref="AL19:AM19" si="65">P19</f>
        <v>12</v>
      </c>
      <c r="AM19" s="29">
        <f t="shared" si="65"/>
        <v>22</v>
      </c>
      <c r="AN19" s="34">
        <f t="shared" si="22"/>
        <v>10</v>
      </c>
      <c r="AO19" s="35">
        <f t="shared" si="23"/>
        <v>0.8333333333</v>
      </c>
      <c r="AP19" s="33">
        <f t="shared" si="24"/>
        <v>1.86018196</v>
      </c>
      <c r="AQ19" s="36">
        <f t="shared" si="25"/>
        <v>7</v>
      </c>
      <c r="AR19" s="29">
        <v>196.0</v>
      </c>
      <c r="AS19" s="29">
        <v>312.0</v>
      </c>
      <c r="AT19" s="29">
        <f t="shared" si="26"/>
        <v>116</v>
      </c>
      <c r="AU19" s="35">
        <f t="shared" si="27"/>
        <v>0.5918367347</v>
      </c>
      <c r="AV19" s="33">
        <f t="shared" si="28"/>
        <v>26.38076234</v>
      </c>
      <c r="AW19" s="33">
        <f t="shared" si="46"/>
        <v>1.924192536</v>
      </c>
      <c r="AX19" s="36">
        <f t="shared" si="29"/>
        <v>4</v>
      </c>
      <c r="AY19" s="33">
        <v>2437.0</v>
      </c>
      <c r="AZ19" s="33">
        <v>1384.0</v>
      </c>
      <c r="BA19" s="29">
        <f t="shared" si="30"/>
        <v>-1053</v>
      </c>
      <c r="BB19" s="35">
        <f t="shared" si="31"/>
        <v>-0.4320886336</v>
      </c>
      <c r="BC19" s="36">
        <f t="shared" si="32"/>
        <v>117.022356</v>
      </c>
      <c r="BD19" s="33">
        <f t="shared" si="33"/>
        <v>0.6357513631</v>
      </c>
      <c r="BE19" s="36">
        <f t="shared" si="34"/>
        <v>3</v>
      </c>
      <c r="BF19" s="29">
        <f t="shared" si="35"/>
        <v>4.25</v>
      </c>
      <c r="BH19" s="29">
        <f t="shared" si="47"/>
        <v>5.9</v>
      </c>
      <c r="BI19" s="1">
        <f t="shared" si="36"/>
        <v>3.5</v>
      </c>
      <c r="BJ19" s="1">
        <f t="shared" si="37"/>
        <v>1.279971949</v>
      </c>
      <c r="BK19" s="1">
        <f t="shared" si="38"/>
        <v>2</v>
      </c>
      <c r="BL19" s="3">
        <f t="shared" si="39"/>
        <v>9.808232151</v>
      </c>
      <c r="BM19" s="33">
        <f t="shared" si="40"/>
        <v>51</v>
      </c>
      <c r="BN19" s="3">
        <f t="shared" si="41"/>
        <v>-89.03507289</v>
      </c>
      <c r="BO19" s="33">
        <f t="shared" si="42"/>
        <v>2</v>
      </c>
      <c r="BP19" s="1">
        <f t="shared" si="43"/>
        <v>26.5</v>
      </c>
    </row>
    <row r="20">
      <c r="C20" s="29"/>
      <c r="D20" s="30" t="s">
        <v>55</v>
      </c>
      <c r="E20" s="31"/>
      <c r="F20" s="31"/>
      <c r="G20" s="31"/>
      <c r="H20" s="31"/>
      <c r="I20" s="31">
        <v>3.0</v>
      </c>
      <c r="J20" s="27">
        <v>146908.0</v>
      </c>
      <c r="K20" s="33">
        <v>18.0</v>
      </c>
      <c r="L20" s="33">
        <v>58.0</v>
      </c>
      <c r="M20" s="34">
        <v>40.0</v>
      </c>
      <c r="N20" s="35">
        <f t="shared" si="4"/>
        <v>2.222222222</v>
      </c>
      <c r="O20" s="36">
        <f t="shared" si="5"/>
        <v>1</v>
      </c>
      <c r="P20" s="29">
        <v>20.0</v>
      </c>
      <c r="Q20" s="29">
        <v>87.0</v>
      </c>
      <c r="R20" s="34">
        <f t="shared" si="6"/>
        <v>67</v>
      </c>
      <c r="S20" s="35">
        <f t="shared" si="7"/>
        <v>3.35</v>
      </c>
      <c r="T20" s="36">
        <f t="shared" si="8"/>
        <v>2</v>
      </c>
      <c r="U20" s="29">
        <v>239.0</v>
      </c>
      <c r="V20" s="29">
        <v>313.0</v>
      </c>
      <c r="W20" s="29">
        <f t="shared" si="9"/>
        <v>74</v>
      </c>
      <c r="X20" s="35">
        <f t="shared" si="10"/>
        <v>0.309623431</v>
      </c>
      <c r="Y20" s="36">
        <f t="shared" si="11"/>
        <v>9</v>
      </c>
      <c r="Z20" s="33">
        <v>2706.0</v>
      </c>
      <c r="AA20" s="33">
        <v>1216.0</v>
      </c>
      <c r="AB20" s="29">
        <f t="shared" si="12"/>
        <v>-1490</v>
      </c>
      <c r="AC20" s="35">
        <f t="shared" si="13"/>
        <v>-0.5506282336</v>
      </c>
      <c r="AD20" s="36">
        <f t="shared" si="14"/>
        <v>8</v>
      </c>
      <c r="AE20" s="29">
        <f t="shared" si="15"/>
        <v>6.4</v>
      </c>
      <c r="AF20" s="33">
        <f t="shared" ref="AF20:AG20" si="66">K20</f>
        <v>18</v>
      </c>
      <c r="AG20" s="33">
        <f t="shared" si="66"/>
        <v>58</v>
      </c>
      <c r="AH20" s="34">
        <f t="shared" si="17"/>
        <v>40</v>
      </c>
      <c r="AI20" s="35">
        <f t="shared" si="18"/>
        <v>2.222222222</v>
      </c>
      <c r="AJ20" s="33">
        <f t="shared" si="19"/>
        <v>3.948049119</v>
      </c>
      <c r="AK20" s="36">
        <f t="shared" si="20"/>
        <v>2</v>
      </c>
      <c r="AL20" s="29">
        <f t="shared" ref="AL20:AM20" si="67">P20</f>
        <v>20</v>
      </c>
      <c r="AM20" s="29">
        <f t="shared" si="67"/>
        <v>87</v>
      </c>
      <c r="AN20" s="34">
        <f t="shared" si="22"/>
        <v>67</v>
      </c>
      <c r="AO20" s="35">
        <f t="shared" si="23"/>
        <v>3.35</v>
      </c>
      <c r="AP20" s="33">
        <f t="shared" si="24"/>
        <v>5.922073679</v>
      </c>
      <c r="AQ20" s="36">
        <f t="shared" si="25"/>
        <v>2</v>
      </c>
      <c r="AR20" s="29">
        <v>239.0</v>
      </c>
      <c r="AS20" s="29">
        <v>313.0</v>
      </c>
      <c r="AT20" s="29">
        <f t="shared" si="26"/>
        <v>74</v>
      </c>
      <c r="AU20" s="35">
        <f t="shared" si="27"/>
        <v>0.309623431</v>
      </c>
      <c r="AV20" s="33">
        <f t="shared" si="28"/>
        <v>21.30585128</v>
      </c>
      <c r="AW20" s="33">
        <f t="shared" si="46"/>
        <v>2.515890725</v>
      </c>
      <c r="AX20" s="36">
        <f t="shared" si="29"/>
        <v>6</v>
      </c>
      <c r="AY20" s="33">
        <v>2706.0</v>
      </c>
      <c r="AZ20" s="33">
        <v>1216.0</v>
      </c>
      <c r="BA20" s="29">
        <f t="shared" si="30"/>
        <v>-1490</v>
      </c>
      <c r="BB20" s="35">
        <f t="shared" si="31"/>
        <v>-0.5506282336</v>
      </c>
      <c r="BC20" s="36">
        <f t="shared" si="32"/>
        <v>82.77289188</v>
      </c>
      <c r="BD20" s="33">
        <f t="shared" si="33"/>
        <v>1.913055822</v>
      </c>
      <c r="BE20" s="36">
        <f t="shared" si="34"/>
        <v>6</v>
      </c>
      <c r="BF20" s="29">
        <f t="shared" si="35"/>
        <v>4.8</v>
      </c>
      <c r="BH20" s="29">
        <f t="shared" si="47"/>
        <v>4.65</v>
      </c>
      <c r="BI20" s="1">
        <f t="shared" si="36"/>
        <v>6</v>
      </c>
      <c r="BJ20" s="1">
        <f t="shared" si="37"/>
        <v>2.214473274</v>
      </c>
      <c r="BK20" s="1">
        <f t="shared" si="38"/>
        <v>5</v>
      </c>
      <c r="BL20" s="3">
        <f t="shared" si="39"/>
        <v>5.037166118</v>
      </c>
      <c r="BM20" s="33">
        <f t="shared" si="40"/>
        <v>40</v>
      </c>
      <c r="BN20" s="3">
        <f t="shared" si="41"/>
        <v>-101.4240205</v>
      </c>
      <c r="BO20" s="33">
        <f t="shared" si="42"/>
        <v>1</v>
      </c>
      <c r="BP20" s="1">
        <f t="shared" si="43"/>
        <v>20.5</v>
      </c>
    </row>
    <row r="21" ht="15.75" customHeight="1">
      <c r="C21" s="29"/>
      <c r="D21" s="30" t="s">
        <v>56</v>
      </c>
      <c r="E21" s="31"/>
      <c r="F21" s="31"/>
      <c r="G21" s="31"/>
      <c r="H21" s="31"/>
      <c r="I21" s="31">
        <v>0.5</v>
      </c>
      <c r="J21" s="27">
        <v>66371.0</v>
      </c>
      <c r="K21" s="33">
        <v>13.0</v>
      </c>
      <c r="L21" s="33">
        <v>12.0</v>
      </c>
      <c r="M21" s="34">
        <v>-1.0</v>
      </c>
      <c r="N21" s="35">
        <f t="shared" si="4"/>
        <v>-0.07692307692</v>
      </c>
      <c r="O21" s="36">
        <f t="shared" si="5"/>
        <v>22</v>
      </c>
      <c r="P21" s="29">
        <v>20.0</v>
      </c>
      <c r="Q21" s="29">
        <v>6.0</v>
      </c>
      <c r="R21" s="34">
        <f t="shared" si="6"/>
        <v>-14</v>
      </c>
      <c r="S21" s="35">
        <f t="shared" si="7"/>
        <v>-0.7</v>
      </c>
      <c r="T21" s="36">
        <f t="shared" si="8"/>
        <v>23</v>
      </c>
      <c r="U21" s="29">
        <v>84.0</v>
      </c>
      <c r="V21" s="29">
        <v>124.0</v>
      </c>
      <c r="W21" s="29">
        <f t="shared" si="9"/>
        <v>40</v>
      </c>
      <c r="X21" s="35">
        <f t="shared" si="10"/>
        <v>0.4761904762</v>
      </c>
      <c r="Y21" s="36">
        <f t="shared" si="11"/>
        <v>27</v>
      </c>
      <c r="Z21" s="33">
        <v>312.0</v>
      </c>
      <c r="AA21" s="33">
        <v>377.0</v>
      </c>
      <c r="AB21" s="29">
        <f t="shared" si="12"/>
        <v>65</v>
      </c>
      <c r="AC21" s="35">
        <f t="shared" si="13"/>
        <v>0.2083333333</v>
      </c>
      <c r="AD21" s="36">
        <f t="shared" si="14"/>
        <v>27</v>
      </c>
      <c r="AE21" s="29">
        <f t="shared" si="15"/>
        <v>25.65</v>
      </c>
      <c r="AF21" s="33">
        <f t="shared" ref="AF21:AG21" si="68">K21</f>
        <v>13</v>
      </c>
      <c r="AG21" s="33">
        <f t="shared" si="68"/>
        <v>12</v>
      </c>
      <c r="AH21" s="34">
        <f t="shared" si="17"/>
        <v>-1</v>
      </c>
      <c r="AI21" s="35">
        <f t="shared" si="18"/>
        <v>-0.07692307692</v>
      </c>
      <c r="AJ21" s="33">
        <f t="shared" si="19"/>
        <v>1.808018562</v>
      </c>
      <c r="AK21" s="36">
        <f t="shared" si="20"/>
        <v>8</v>
      </c>
      <c r="AL21" s="29">
        <f t="shared" ref="AL21:AM21" si="69">P21</f>
        <v>20</v>
      </c>
      <c r="AM21" s="29">
        <f t="shared" si="69"/>
        <v>6</v>
      </c>
      <c r="AN21" s="34">
        <f t="shared" si="22"/>
        <v>-14</v>
      </c>
      <c r="AO21" s="35">
        <f t="shared" si="23"/>
        <v>-0.7</v>
      </c>
      <c r="AP21" s="33">
        <f t="shared" si="24"/>
        <v>0.9040092812</v>
      </c>
      <c r="AQ21" s="36">
        <f t="shared" si="25"/>
        <v>14</v>
      </c>
      <c r="AR21" s="29">
        <v>84.0</v>
      </c>
      <c r="AS21" s="29">
        <v>124.0</v>
      </c>
      <c r="AT21" s="29">
        <f t="shared" si="26"/>
        <v>40</v>
      </c>
      <c r="AU21" s="35">
        <f t="shared" si="27"/>
        <v>0.4761904762</v>
      </c>
      <c r="AV21" s="33">
        <f t="shared" si="28"/>
        <v>18.68285848</v>
      </c>
      <c r="AW21" s="33">
        <f t="shared" si="46"/>
        <v>2.821712852</v>
      </c>
      <c r="AX21" s="36">
        <f t="shared" si="29"/>
        <v>9</v>
      </c>
      <c r="AY21" s="33">
        <v>312.0</v>
      </c>
      <c r="AZ21" s="33">
        <v>377.0</v>
      </c>
      <c r="BA21" s="29">
        <f t="shared" si="30"/>
        <v>65</v>
      </c>
      <c r="BB21" s="35">
        <f t="shared" si="31"/>
        <v>0.2083333333</v>
      </c>
      <c r="BC21" s="36">
        <f t="shared" si="32"/>
        <v>56.8019165</v>
      </c>
      <c r="BD21" s="33">
        <f t="shared" si="33"/>
        <v>2.881621127</v>
      </c>
      <c r="BE21" s="36">
        <f t="shared" si="34"/>
        <v>10</v>
      </c>
      <c r="BF21" s="29">
        <f t="shared" si="35"/>
        <v>9.95</v>
      </c>
      <c r="BH21" s="29">
        <f t="shared" si="47"/>
        <v>13.4</v>
      </c>
      <c r="BI21" s="1">
        <f t="shared" si="36"/>
        <v>9.5</v>
      </c>
      <c r="BJ21" s="1">
        <f t="shared" si="37"/>
        <v>2.851666989</v>
      </c>
      <c r="BK21" s="1">
        <f t="shared" si="38"/>
        <v>11</v>
      </c>
      <c r="BL21" s="3">
        <f t="shared" si="39"/>
        <v>6.026728541</v>
      </c>
      <c r="BM21" s="33">
        <f t="shared" si="40"/>
        <v>47</v>
      </c>
      <c r="BN21" s="3">
        <f t="shared" si="41"/>
        <v>9.793433879</v>
      </c>
      <c r="BO21" s="33">
        <f t="shared" si="42"/>
        <v>49</v>
      </c>
      <c r="BP21" s="1">
        <f t="shared" si="43"/>
        <v>48</v>
      </c>
    </row>
    <row r="22" ht="15.75" customHeight="1">
      <c r="C22" s="29"/>
      <c r="D22" s="30" t="s">
        <v>57</v>
      </c>
      <c r="E22" s="31"/>
      <c r="F22" s="31"/>
      <c r="G22" s="31"/>
      <c r="H22" s="31"/>
      <c r="I22" s="31">
        <v>0.0</v>
      </c>
      <c r="J22" s="27">
        <v>36534.0</v>
      </c>
      <c r="K22" s="33">
        <v>7.0</v>
      </c>
      <c r="L22" s="33">
        <v>1.0</v>
      </c>
      <c r="M22" s="34">
        <v>-6.0</v>
      </c>
      <c r="N22" s="35">
        <f t="shared" si="4"/>
        <v>-0.8571428571</v>
      </c>
      <c r="O22" s="36">
        <f t="shared" si="5"/>
        <v>38</v>
      </c>
      <c r="P22" s="29">
        <v>0.0</v>
      </c>
      <c r="Q22" s="29">
        <v>1.0</v>
      </c>
      <c r="R22" s="34">
        <f t="shared" si="6"/>
        <v>1</v>
      </c>
      <c r="S22" s="35" t="str">
        <f t="shared" si="7"/>
        <v>-</v>
      </c>
      <c r="T22" s="36">
        <f t="shared" si="8"/>
        <v>36</v>
      </c>
      <c r="U22" s="29">
        <v>45.0</v>
      </c>
      <c r="V22" s="29">
        <v>119.0</v>
      </c>
      <c r="W22" s="29">
        <f t="shared" si="9"/>
        <v>74</v>
      </c>
      <c r="X22" s="35">
        <f t="shared" si="10"/>
        <v>1.644444444</v>
      </c>
      <c r="Y22" s="36">
        <f t="shared" si="11"/>
        <v>28</v>
      </c>
      <c r="Z22" s="33">
        <v>89.0</v>
      </c>
      <c r="AA22" s="33">
        <v>83.0</v>
      </c>
      <c r="AB22" s="29">
        <f t="shared" si="12"/>
        <v>-6</v>
      </c>
      <c r="AC22" s="35">
        <f t="shared" si="13"/>
        <v>-0.06741573034</v>
      </c>
      <c r="AD22" s="36">
        <f t="shared" si="14"/>
        <v>45</v>
      </c>
      <c r="AE22" s="29">
        <f t="shared" si="15"/>
        <v>36.65</v>
      </c>
      <c r="AF22" s="33">
        <f t="shared" ref="AF22:AG22" si="70">K22</f>
        <v>7</v>
      </c>
      <c r="AG22" s="33">
        <f t="shared" si="70"/>
        <v>1</v>
      </c>
      <c r="AH22" s="34">
        <f t="shared" si="17"/>
        <v>-6</v>
      </c>
      <c r="AI22" s="35">
        <f t="shared" si="18"/>
        <v>-0.8571428571</v>
      </c>
      <c r="AJ22" s="33">
        <f t="shared" si="19"/>
        <v>0.2737176329</v>
      </c>
      <c r="AK22" s="36">
        <f t="shared" si="20"/>
        <v>36</v>
      </c>
      <c r="AL22" s="29">
        <f t="shared" ref="AL22:AM22" si="71">P22</f>
        <v>0</v>
      </c>
      <c r="AM22" s="29">
        <f t="shared" si="71"/>
        <v>1</v>
      </c>
      <c r="AN22" s="34">
        <f t="shared" si="22"/>
        <v>1</v>
      </c>
      <c r="AO22" s="35" t="str">
        <f t="shared" si="23"/>
        <v>-</v>
      </c>
      <c r="AP22" s="33">
        <f t="shared" si="24"/>
        <v>0.2737176329</v>
      </c>
      <c r="AQ22" s="36">
        <f t="shared" si="25"/>
        <v>30</v>
      </c>
      <c r="AR22" s="29">
        <v>45.0</v>
      </c>
      <c r="AS22" s="29">
        <v>119.0</v>
      </c>
      <c r="AT22" s="29">
        <f t="shared" si="26"/>
        <v>74</v>
      </c>
      <c r="AU22" s="35">
        <f t="shared" si="27"/>
        <v>1.644444444</v>
      </c>
      <c r="AV22" s="33">
        <f t="shared" si="28"/>
        <v>32.57239831</v>
      </c>
      <c r="AW22" s="33">
        <f t="shared" si="46"/>
        <v>1.202292239</v>
      </c>
      <c r="AX22" s="36">
        <f t="shared" si="29"/>
        <v>2</v>
      </c>
      <c r="AY22" s="33">
        <v>89.0</v>
      </c>
      <c r="AZ22" s="33">
        <v>83.0</v>
      </c>
      <c r="BA22" s="29">
        <f t="shared" si="30"/>
        <v>-6</v>
      </c>
      <c r="BB22" s="35">
        <f t="shared" si="31"/>
        <v>-0.06741573034</v>
      </c>
      <c r="BC22" s="36">
        <f t="shared" si="32"/>
        <v>22.71856353</v>
      </c>
      <c r="BD22" s="33">
        <f t="shared" si="33"/>
        <v>4.152730612</v>
      </c>
      <c r="BE22" s="36">
        <f t="shared" si="34"/>
        <v>33</v>
      </c>
      <c r="BF22" s="29">
        <f t="shared" si="35"/>
        <v>22.15</v>
      </c>
      <c r="BH22" s="29">
        <f t="shared" si="47"/>
        <v>23.35</v>
      </c>
      <c r="BI22" s="1">
        <f t="shared" si="36"/>
        <v>17.5</v>
      </c>
      <c r="BJ22" s="1">
        <f t="shared" si="37"/>
        <v>2.677511426</v>
      </c>
      <c r="BK22" s="1">
        <f t="shared" si="38"/>
        <v>8</v>
      </c>
      <c r="BL22" s="3">
        <f t="shared" si="39"/>
        <v>20.25510483</v>
      </c>
      <c r="BM22" s="33">
        <f t="shared" si="40"/>
        <v>56</v>
      </c>
      <c r="BN22" s="3">
        <f t="shared" si="41"/>
        <v>-1.642305797</v>
      </c>
      <c r="BO22" s="33">
        <f t="shared" si="42"/>
        <v>30</v>
      </c>
      <c r="BP22" s="1">
        <f t="shared" si="43"/>
        <v>43</v>
      </c>
    </row>
    <row r="23" ht="15.75" customHeight="1">
      <c r="C23" s="29"/>
      <c r="D23" s="30" t="s">
        <v>58</v>
      </c>
      <c r="E23" s="31"/>
      <c r="F23" s="31"/>
      <c r="G23" s="31"/>
      <c r="H23" s="31"/>
      <c r="I23" s="31">
        <v>14.0</v>
      </c>
      <c r="J23" s="37">
        <v>480869.0</v>
      </c>
      <c r="K23" s="33">
        <v>30.0</v>
      </c>
      <c r="L23" s="33">
        <v>29.0</v>
      </c>
      <c r="M23" s="34">
        <v>-1.0</v>
      </c>
      <c r="N23" s="35">
        <f t="shared" si="4"/>
        <v>-0.03333333333</v>
      </c>
      <c r="O23" s="36">
        <f t="shared" si="5"/>
        <v>8</v>
      </c>
      <c r="P23" s="29">
        <v>33.0</v>
      </c>
      <c r="Q23" s="29">
        <v>6.0</v>
      </c>
      <c r="R23" s="34">
        <f t="shared" si="6"/>
        <v>-27</v>
      </c>
      <c r="S23" s="35">
        <f t="shared" si="7"/>
        <v>-0.8181818182</v>
      </c>
      <c r="T23" s="36">
        <f t="shared" si="8"/>
        <v>23</v>
      </c>
      <c r="U23" s="29">
        <v>536.0</v>
      </c>
      <c r="V23" s="29">
        <v>601.0</v>
      </c>
      <c r="W23" s="29">
        <f t="shared" si="9"/>
        <v>65</v>
      </c>
      <c r="X23" s="35">
        <f t="shared" si="10"/>
        <v>0.1212686567</v>
      </c>
      <c r="Y23" s="36">
        <f t="shared" si="11"/>
        <v>2</v>
      </c>
      <c r="Z23" s="33">
        <v>1273.0</v>
      </c>
      <c r="AA23" s="33">
        <v>1376.0</v>
      </c>
      <c r="AB23" s="29">
        <f t="shared" si="12"/>
        <v>103</v>
      </c>
      <c r="AC23" s="35">
        <f t="shared" si="13"/>
        <v>0.08091123331</v>
      </c>
      <c r="AD23" s="36">
        <f t="shared" si="14"/>
        <v>6</v>
      </c>
      <c r="AE23" s="29">
        <f t="shared" si="15"/>
        <v>7.45</v>
      </c>
      <c r="AF23" s="33">
        <f t="shared" ref="AF23:AG23" si="72">K23</f>
        <v>30</v>
      </c>
      <c r="AG23" s="33">
        <f t="shared" si="72"/>
        <v>29</v>
      </c>
      <c r="AH23" s="34">
        <f t="shared" si="17"/>
        <v>-1</v>
      </c>
      <c r="AI23" s="35">
        <f t="shared" si="18"/>
        <v>-0.03333333333</v>
      </c>
      <c r="AJ23" s="33">
        <f t="shared" si="19"/>
        <v>0.6030748499</v>
      </c>
      <c r="AK23" s="36">
        <f t="shared" si="20"/>
        <v>29</v>
      </c>
      <c r="AL23" s="29">
        <f t="shared" ref="AL23:AM23" si="73">P23</f>
        <v>33</v>
      </c>
      <c r="AM23" s="29">
        <f t="shared" si="73"/>
        <v>6</v>
      </c>
      <c r="AN23" s="34">
        <f t="shared" si="22"/>
        <v>-27</v>
      </c>
      <c r="AO23" s="35">
        <f t="shared" si="23"/>
        <v>-0.8181818182</v>
      </c>
      <c r="AP23" s="33">
        <f t="shared" si="24"/>
        <v>0.1247741069</v>
      </c>
      <c r="AQ23" s="36">
        <f t="shared" si="25"/>
        <v>34</v>
      </c>
      <c r="AR23" s="29">
        <v>536.0</v>
      </c>
      <c r="AS23" s="29">
        <v>601.0</v>
      </c>
      <c r="AT23" s="29">
        <f t="shared" si="26"/>
        <v>65</v>
      </c>
      <c r="AU23" s="35">
        <f t="shared" si="27"/>
        <v>0.1212686567</v>
      </c>
      <c r="AV23" s="33">
        <f t="shared" si="28"/>
        <v>12.49820637</v>
      </c>
      <c r="AW23" s="33">
        <f t="shared" si="46"/>
        <v>3.542798879</v>
      </c>
      <c r="AX23" s="36">
        <f t="shared" si="29"/>
        <v>16</v>
      </c>
      <c r="AY23" s="33">
        <v>1273.0</v>
      </c>
      <c r="AZ23" s="33">
        <v>1376.0</v>
      </c>
      <c r="BA23" s="29">
        <f t="shared" si="30"/>
        <v>103</v>
      </c>
      <c r="BB23" s="35">
        <f t="shared" si="31"/>
        <v>0.08091123331</v>
      </c>
      <c r="BC23" s="36">
        <f t="shared" si="32"/>
        <v>28.61486184</v>
      </c>
      <c r="BD23" s="33">
        <f t="shared" si="33"/>
        <v>3.932833212</v>
      </c>
      <c r="BE23" s="36">
        <f t="shared" si="34"/>
        <v>25</v>
      </c>
      <c r="BF23" s="29">
        <f t="shared" si="35"/>
        <v>23.8</v>
      </c>
      <c r="BH23" s="29">
        <f t="shared" si="47"/>
        <v>19</v>
      </c>
      <c r="BI23" s="1">
        <f t="shared" si="36"/>
        <v>20.5</v>
      </c>
      <c r="BJ23" s="1">
        <f t="shared" si="37"/>
        <v>3.737816045</v>
      </c>
      <c r="BK23" s="1">
        <f t="shared" si="38"/>
        <v>23</v>
      </c>
      <c r="BL23" s="3">
        <f t="shared" si="39"/>
        <v>1.351719491</v>
      </c>
      <c r="BM23" s="33">
        <f t="shared" si="40"/>
        <v>23</v>
      </c>
      <c r="BN23" s="3">
        <f t="shared" si="41"/>
        <v>2.141955501</v>
      </c>
      <c r="BO23" s="33">
        <f t="shared" si="42"/>
        <v>37</v>
      </c>
      <c r="BP23" s="1">
        <f t="shared" si="43"/>
        <v>30</v>
      </c>
    </row>
    <row r="24" ht="15.75" customHeight="1">
      <c r="C24" s="29"/>
      <c r="D24" s="30" t="s">
        <v>59</v>
      </c>
      <c r="E24" s="31"/>
      <c r="F24" s="31"/>
      <c r="G24" s="31"/>
      <c r="H24" s="31"/>
      <c r="I24" s="31">
        <v>13.0</v>
      </c>
      <c r="J24" s="27">
        <v>324754.0</v>
      </c>
      <c r="K24" s="33">
        <v>5.0</v>
      </c>
      <c r="L24" s="33">
        <v>6.0</v>
      </c>
      <c r="M24" s="34">
        <v>1.0</v>
      </c>
      <c r="N24" s="35">
        <f t="shared" si="4"/>
        <v>0.2</v>
      </c>
      <c r="O24" s="36">
        <f t="shared" si="5"/>
        <v>29</v>
      </c>
      <c r="P24" s="29">
        <v>44.0</v>
      </c>
      <c r="Q24" s="29">
        <v>12.0</v>
      </c>
      <c r="R24" s="34">
        <f t="shared" si="6"/>
        <v>-32</v>
      </c>
      <c r="S24" s="35">
        <f t="shared" si="7"/>
        <v>-0.7272727273</v>
      </c>
      <c r="T24" s="36">
        <f t="shared" si="8"/>
        <v>17</v>
      </c>
      <c r="U24" s="29">
        <v>229.0</v>
      </c>
      <c r="V24" s="29">
        <v>275.0</v>
      </c>
      <c r="W24" s="29">
        <f t="shared" si="9"/>
        <v>46</v>
      </c>
      <c r="X24" s="35">
        <f t="shared" si="10"/>
        <v>0.2008733624</v>
      </c>
      <c r="Y24" s="36">
        <f t="shared" si="11"/>
        <v>12</v>
      </c>
      <c r="Z24" s="33">
        <v>871.0</v>
      </c>
      <c r="AA24" s="33">
        <v>1174.0</v>
      </c>
      <c r="AB24" s="29">
        <f t="shared" si="12"/>
        <v>303</v>
      </c>
      <c r="AC24" s="35">
        <f t="shared" si="13"/>
        <v>0.3478760046</v>
      </c>
      <c r="AD24" s="36">
        <f t="shared" si="14"/>
        <v>9</v>
      </c>
      <c r="AE24" s="29">
        <f t="shared" si="15"/>
        <v>14.25</v>
      </c>
      <c r="AF24" s="33">
        <f t="shared" ref="AF24:AG24" si="74">K24</f>
        <v>5</v>
      </c>
      <c r="AG24" s="33">
        <f t="shared" si="74"/>
        <v>6</v>
      </c>
      <c r="AH24" s="34">
        <f t="shared" si="17"/>
        <v>1</v>
      </c>
      <c r="AI24" s="35">
        <f t="shared" si="18"/>
        <v>0.2</v>
      </c>
      <c r="AJ24" s="33">
        <f t="shared" si="19"/>
        <v>0.1847552301</v>
      </c>
      <c r="AK24" s="36">
        <f t="shared" si="20"/>
        <v>38</v>
      </c>
      <c r="AL24" s="29">
        <f t="shared" ref="AL24:AM24" si="75">P24</f>
        <v>44</v>
      </c>
      <c r="AM24" s="29">
        <f t="shared" si="75"/>
        <v>12</v>
      </c>
      <c r="AN24" s="34">
        <f t="shared" si="22"/>
        <v>-32</v>
      </c>
      <c r="AO24" s="35">
        <f t="shared" si="23"/>
        <v>-0.7272727273</v>
      </c>
      <c r="AP24" s="33">
        <f t="shared" si="24"/>
        <v>0.3695104602</v>
      </c>
      <c r="AQ24" s="36">
        <f t="shared" si="25"/>
        <v>25</v>
      </c>
      <c r="AR24" s="29">
        <v>229.0</v>
      </c>
      <c r="AS24" s="29">
        <v>275.0</v>
      </c>
      <c r="AT24" s="29">
        <f t="shared" si="26"/>
        <v>46</v>
      </c>
      <c r="AU24" s="35">
        <f t="shared" si="27"/>
        <v>0.2008733624</v>
      </c>
      <c r="AV24" s="33">
        <f t="shared" si="28"/>
        <v>8.467948047</v>
      </c>
      <c r="AW24" s="33">
        <f t="shared" si="46"/>
        <v>4.012698061</v>
      </c>
      <c r="AX24" s="36">
        <f t="shared" si="29"/>
        <v>31</v>
      </c>
      <c r="AY24" s="33">
        <v>871.0</v>
      </c>
      <c r="AZ24" s="33">
        <v>1174.0</v>
      </c>
      <c r="BA24" s="29">
        <f t="shared" si="30"/>
        <v>303</v>
      </c>
      <c r="BB24" s="35">
        <f t="shared" si="31"/>
        <v>0.3478760046</v>
      </c>
      <c r="BC24" s="36">
        <f t="shared" si="32"/>
        <v>36.15044003</v>
      </c>
      <c r="BD24" s="33">
        <f t="shared" si="33"/>
        <v>3.651800271</v>
      </c>
      <c r="BE24" s="36">
        <f t="shared" si="34"/>
        <v>18</v>
      </c>
      <c r="BF24" s="29">
        <f t="shared" si="35"/>
        <v>26.6</v>
      </c>
      <c r="BH24" s="29">
        <f t="shared" si="47"/>
        <v>24.05</v>
      </c>
      <c r="BI24" s="1">
        <f t="shared" si="36"/>
        <v>24.5</v>
      </c>
      <c r="BJ24" s="1">
        <f t="shared" si="37"/>
        <v>3.832249166</v>
      </c>
      <c r="BK24" s="1">
        <f t="shared" si="38"/>
        <v>25</v>
      </c>
      <c r="BL24" s="3">
        <f t="shared" si="39"/>
        <v>1.416456764</v>
      </c>
      <c r="BM24" s="33">
        <f t="shared" si="40"/>
        <v>24</v>
      </c>
      <c r="BN24" s="3">
        <f t="shared" si="41"/>
        <v>9.330139121</v>
      </c>
      <c r="BO24" s="33">
        <f t="shared" si="42"/>
        <v>47</v>
      </c>
      <c r="BP24" s="1">
        <f t="shared" si="43"/>
        <v>35.5</v>
      </c>
    </row>
    <row r="25" ht="15.75" customHeight="1">
      <c r="C25" s="29"/>
      <c r="D25" s="30" t="s">
        <v>60</v>
      </c>
      <c r="E25" s="31"/>
      <c r="F25" s="31"/>
      <c r="G25" s="31"/>
      <c r="H25" s="31"/>
      <c r="I25" s="31">
        <v>8.0</v>
      </c>
      <c r="J25" s="27">
        <v>172848.0</v>
      </c>
      <c r="K25" s="33">
        <v>32.0</v>
      </c>
      <c r="L25" s="33">
        <v>33.0</v>
      </c>
      <c r="M25" s="34">
        <v>1.0</v>
      </c>
      <c r="N25" s="35">
        <f t="shared" si="4"/>
        <v>0.03125</v>
      </c>
      <c r="O25" s="36">
        <f t="shared" si="5"/>
        <v>5</v>
      </c>
      <c r="P25" s="29">
        <v>22.0</v>
      </c>
      <c r="Q25" s="29">
        <v>23.0</v>
      </c>
      <c r="R25" s="34">
        <f t="shared" si="6"/>
        <v>1</v>
      </c>
      <c r="S25" s="35">
        <f t="shared" si="7"/>
        <v>0.04545454545</v>
      </c>
      <c r="T25" s="36">
        <f t="shared" si="8"/>
        <v>8</v>
      </c>
      <c r="U25" s="29">
        <v>200.0</v>
      </c>
      <c r="V25" s="29">
        <v>486.0</v>
      </c>
      <c r="W25" s="29">
        <f t="shared" si="9"/>
        <v>286</v>
      </c>
      <c r="X25" s="35">
        <f t="shared" si="10"/>
        <v>1.43</v>
      </c>
      <c r="Y25" s="36">
        <f t="shared" si="11"/>
        <v>4</v>
      </c>
      <c r="Z25" s="33">
        <v>975.0</v>
      </c>
      <c r="AA25" s="33">
        <v>1621.0</v>
      </c>
      <c r="AB25" s="29">
        <f t="shared" si="12"/>
        <v>646</v>
      </c>
      <c r="AC25" s="35">
        <f t="shared" si="13"/>
        <v>0.6625641026</v>
      </c>
      <c r="AD25" s="36">
        <f t="shared" si="14"/>
        <v>4</v>
      </c>
      <c r="AE25" s="29">
        <f t="shared" si="15"/>
        <v>4.75</v>
      </c>
      <c r="AF25" s="33">
        <f t="shared" ref="AF25:AG25" si="76">K25</f>
        <v>32</v>
      </c>
      <c r="AG25" s="33">
        <f t="shared" si="76"/>
        <v>33</v>
      </c>
      <c r="AH25" s="34">
        <f t="shared" si="17"/>
        <v>1</v>
      </c>
      <c r="AI25" s="35">
        <f t="shared" si="18"/>
        <v>0.03125</v>
      </c>
      <c r="AJ25" s="33">
        <f t="shared" si="19"/>
        <v>1.909191891</v>
      </c>
      <c r="AK25" s="36">
        <f t="shared" si="20"/>
        <v>6</v>
      </c>
      <c r="AL25" s="29">
        <f t="shared" ref="AL25:AM25" si="77">P25</f>
        <v>22</v>
      </c>
      <c r="AM25" s="29">
        <f t="shared" si="77"/>
        <v>23</v>
      </c>
      <c r="AN25" s="34">
        <f t="shared" si="22"/>
        <v>1</v>
      </c>
      <c r="AO25" s="35">
        <f t="shared" si="23"/>
        <v>0.04545454545</v>
      </c>
      <c r="AP25" s="33">
        <f t="shared" si="24"/>
        <v>1.330648894</v>
      </c>
      <c r="AQ25" s="36">
        <f t="shared" si="25"/>
        <v>9</v>
      </c>
      <c r="AR25" s="29">
        <v>200.0</v>
      </c>
      <c r="AS25" s="29">
        <v>486.0</v>
      </c>
      <c r="AT25" s="29">
        <f t="shared" si="26"/>
        <v>286</v>
      </c>
      <c r="AU25" s="35">
        <f t="shared" si="27"/>
        <v>1.43</v>
      </c>
      <c r="AV25" s="33">
        <f t="shared" si="28"/>
        <v>28.11718967</v>
      </c>
      <c r="AW25" s="33">
        <f t="shared" si="46"/>
        <v>1.721737577</v>
      </c>
      <c r="AX25" s="36">
        <f t="shared" si="29"/>
        <v>3</v>
      </c>
      <c r="AY25" s="33">
        <v>975.0</v>
      </c>
      <c r="AZ25" s="33">
        <v>1621.0</v>
      </c>
      <c r="BA25" s="29">
        <f t="shared" si="30"/>
        <v>646</v>
      </c>
      <c r="BB25" s="35">
        <f t="shared" si="31"/>
        <v>0.6625641026</v>
      </c>
      <c r="BC25" s="36">
        <f t="shared" si="32"/>
        <v>93.78181986</v>
      </c>
      <c r="BD25" s="33">
        <f t="shared" si="33"/>
        <v>1.502487273</v>
      </c>
      <c r="BE25" s="36">
        <f t="shared" si="34"/>
        <v>5</v>
      </c>
      <c r="BF25" s="29">
        <f t="shared" si="35"/>
        <v>5.05</v>
      </c>
      <c r="BH25" s="29">
        <f t="shared" si="47"/>
        <v>4.75</v>
      </c>
      <c r="BI25" s="1">
        <f t="shared" si="36"/>
        <v>4</v>
      </c>
      <c r="BJ25" s="1">
        <f t="shared" si="37"/>
        <v>1.612112425</v>
      </c>
      <c r="BK25" s="1">
        <f t="shared" si="38"/>
        <v>3</v>
      </c>
      <c r="BL25" s="3">
        <f t="shared" si="39"/>
        <v>16.54632972</v>
      </c>
      <c r="BM25" s="33">
        <f t="shared" si="40"/>
        <v>55</v>
      </c>
      <c r="BN25" s="3">
        <f t="shared" si="41"/>
        <v>37.37387763</v>
      </c>
      <c r="BO25" s="33">
        <f t="shared" si="42"/>
        <v>54</v>
      </c>
      <c r="BP25" s="1">
        <f t="shared" si="43"/>
        <v>54.5</v>
      </c>
    </row>
    <row r="26" ht="15.75" customHeight="1">
      <c r="C26" s="29"/>
      <c r="D26" s="30" t="s">
        <v>61</v>
      </c>
      <c r="E26" s="31"/>
      <c r="F26" s="31"/>
      <c r="G26" s="31"/>
      <c r="H26" s="31"/>
      <c r="I26" s="31">
        <v>0.5</v>
      </c>
      <c r="J26" s="27">
        <v>79513.0</v>
      </c>
      <c r="K26" s="33">
        <v>20.0</v>
      </c>
      <c r="L26" s="33">
        <v>33.0</v>
      </c>
      <c r="M26" s="34">
        <v>13.0</v>
      </c>
      <c r="N26" s="35">
        <f t="shared" si="4"/>
        <v>0.65</v>
      </c>
      <c r="O26" s="36">
        <f t="shared" si="5"/>
        <v>5</v>
      </c>
      <c r="P26" s="29">
        <v>5.0</v>
      </c>
      <c r="Q26" s="29">
        <v>6.0</v>
      </c>
      <c r="R26" s="34">
        <f t="shared" si="6"/>
        <v>1</v>
      </c>
      <c r="S26" s="35">
        <f t="shared" si="7"/>
        <v>0.2</v>
      </c>
      <c r="T26" s="36">
        <f t="shared" si="8"/>
        <v>23</v>
      </c>
      <c r="U26" s="29">
        <v>75.0</v>
      </c>
      <c r="V26" s="29">
        <v>130.0</v>
      </c>
      <c r="W26" s="29">
        <f t="shared" si="9"/>
        <v>55</v>
      </c>
      <c r="X26" s="35">
        <f t="shared" si="10"/>
        <v>0.7333333333</v>
      </c>
      <c r="Y26" s="36">
        <f t="shared" si="11"/>
        <v>26</v>
      </c>
      <c r="Z26" s="33">
        <v>386.0</v>
      </c>
      <c r="AA26" s="33">
        <v>527.0</v>
      </c>
      <c r="AB26" s="29">
        <f t="shared" si="12"/>
        <v>141</v>
      </c>
      <c r="AC26" s="35">
        <f t="shared" si="13"/>
        <v>0.3652849741</v>
      </c>
      <c r="AD26" s="36">
        <f t="shared" si="14"/>
        <v>22</v>
      </c>
      <c r="AE26" s="29">
        <f t="shared" si="15"/>
        <v>21</v>
      </c>
      <c r="AF26" s="33">
        <f t="shared" ref="AF26:AG26" si="78">K26</f>
        <v>20</v>
      </c>
      <c r="AG26" s="33">
        <f t="shared" si="78"/>
        <v>33</v>
      </c>
      <c r="AH26" s="34">
        <f t="shared" si="17"/>
        <v>13</v>
      </c>
      <c r="AI26" s="35">
        <f t="shared" si="18"/>
        <v>0.65</v>
      </c>
      <c r="AJ26" s="33">
        <f t="shared" si="19"/>
        <v>4.150264737</v>
      </c>
      <c r="AK26" s="36">
        <f t="shared" si="20"/>
        <v>1</v>
      </c>
      <c r="AL26" s="29">
        <f t="shared" ref="AL26:AM26" si="79">P26</f>
        <v>5</v>
      </c>
      <c r="AM26" s="29">
        <f t="shared" si="79"/>
        <v>6</v>
      </c>
      <c r="AN26" s="34">
        <f t="shared" si="22"/>
        <v>1</v>
      </c>
      <c r="AO26" s="35">
        <f t="shared" si="23"/>
        <v>0.2</v>
      </c>
      <c r="AP26" s="33">
        <f t="shared" si="24"/>
        <v>0.7545935885</v>
      </c>
      <c r="AQ26" s="36">
        <f t="shared" si="25"/>
        <v>17</v>
      </c>
      <c r="AR26" s="29">
        <v>75.0</v>
      </c>
      <c r="AS26" s="29">
        <v>130.0</v>
      </c>
      <c r="AT26" s="29">
        <f t="shared" si="26"/>
        <v>55</v>
      </c>
      <c r="AU26" s="35">
        <f t="shared" si="27"/>
        <v>0.7333333333</v>
      </c>
      <c r="AV26" s="33">
        <f t="shared" si="28"/>
        <v>16.34952775</v>
      </c>
      <c r="AW26" s="33">
        <f t="shared" si="46"/>
        <v>3.09376246</v>
      </c>
      <c r="AX26" s="36">
        <f t="shared" si="29"/>
        <v>10</v>
      </c>
      <c r="AY26" s="33">
        <v>386.0</v>
      </c>
      <c r="AZ26" s="33">
        <v>527.0</v>
      </c>
      <c r="BA26" s="29">
        <f t="shared" si="30"/>
        <v>141</v>
      </c>
      <c r="BB26" s="35">
        <f t="shared" si="31"/>
        <v>0.3652849741</v>
      </c>
      <c r="BC26" s="36">
        <f t="shared" si="32"/>
        <v>66.27847019</v>
      </c>
      <c r="BD26" s="33">
        <f t="shared" si="33"/>
        <v>2.528201166</v>
      </c>
      <c r="BE26" s="36">
        <f t="shared" si="34"/>
        <v>8</v>
      </c>
      <c r="BF26" s="29">
        <f t="shared" si="35"/>
        <v>9</v>
      </c>
      <c r="BH26" s="29">
        <f t="shared" si="47"/>
        <v>10.5</v>
      </c>
      <c r="BI26" s="1">
        <f t="shared" si="36"/>
        <v>9</v>
      </c>
      <c r="BJ26" s="1">
        <f t="shared" si="37"/>
        <v>2.810981813</v>
      </c>
      <c r="BK26" s="1">
        <f t="shared" si="38"/>
        <v>10</v>
      </c>
      <c r="BL26" s="3">
        <f t="shared" si="39"/>
        <v>6.917107894</v>
      </c>
      <c r="BM26" s="33">
        <f t="shared" si="40"/>
        <v>48</v>
      </c>
      <c r="BN26" s="3">
        <f t="shared" si="41"/>
        <v>17.73294933</v>
      </c>
      <c r="BO26" s="33">
        <f t="shared" si="42"/>
        <v>51</v>
      </c>
      <c r="BP26" s="1">
        <f t="shared" si="43"/>
        <v>49.5</v>
      </c>
    </row>
    <row r="27" ht="15.75" customHeight="1">
      <c r="C27" s="29"/>
      <c r="D27" s="30" t="s">
        <v>62</v>
      </c>
      <c r="E27" s="31"/>
      <c r="F27" s="31"/>
      <c r="G27" s="31"/>
      <c r="H27" s="31"/>
      <c r="I27" s="31">
        <v>10.0</v>
      </c>
      <c r="J27" s="27">
        <v>74193.0</v>
      </c>
      <c r="K27" s="33">
        <v>3.0</v>
      </c>
      <c r="L27" s="33">
        <v>1.0</v>
      </c>
      <c r="M27" s="34">
        <v>-2.0</v>
      </c>
      <c r="N27" s="35">
        <f t="shared" si="4"/>
        <v>-0.6666666667</v>
      </c>
      <c r="O27" s="36">
        <f t="shared" si="5"/>
        <v>38</v>
      </c>
      <c r="P27" s="29">
        <v>2.0</v>
      </c>
      <c r="Q27" s="29">
        <v>0.0</v>
      </c>
      <c r="R27" s="34">
        <f t="shared" si="6"/>
        <v>-2</v>
      </c>
      <c r="S27" s="35">
        <f t="shared" si="7"/>
        <v>-1</v>
      </c>
      <c r="T27" s="36">
        <f t="shared" si="8"/>
        <v>38</v>
      </c>
      <c r="U27" s="29">
        <v>37.0</v>
      </c>
      <c r="V27" s="29">
        <v>37.0</v>
      </c>
      <c r="W27" s="29">
        <f t="shared" si="9"/>
        <v>0</v>
      </c>
      <c r="X27" s="35">
        <f t="shared" si="10"/>
        <v>0</v>
      </c>
      <c r="Y27" s="36">
        <f t="shared" si="11"/>
        <v>43</v>
      </c>
      <c r="Z27" s="33">
        <v>315.0</v>
      </c>
      <c r="AA27" s="33">
        <v>69.0</v>
      </c>
      <c r="AB27" s="29">
        <f t="shared" si="12"/>
        <v>-246</v>
      </c>
      <c r="AC27" s="35">
        <f t="shared" si="13"/>
        <v>-0.780952381</v>
      </c>
      <c r="AD27" s="36">
        <f t="shared" si="14"/>
        <v>48</v>
      </c>
      <c r="AE27" s="29">
        <f t="shared" si="15"/>
        <v>43.25</v>
      </c>
      <c r="AF27" s="33">
        <f t="shared" ref="AF27:AG27" si="80">K27</f>
        <v>3</v>
      </c>
      <c r="AG27" s="33">
        <f t="shared" si="80"/>
        <v>1</v>
      </c>
      <c r="AH27" s="34">
        <f t="shared" si="17"/>
        <v>-2</v>
      </c>
      <c r="AI27" s="35">
        <f t="shared" si="18"/>
        <v>-0.6666666667</v>
      </c>
      <c r="AJ27" s="33">
        <f t="shared" si="19"/>
        <v>0.1347836049</v>
      </c>
      <c r="AK27" s="36">
        <f t="shared" si="20"/>
        <v>41</v>
      </c>
      <c r="AL27" s="29">
        <f t="shared" ref="AL27:AM27" si="81">P27</f>
        <v>2</v>
      </c>
      <c r="AM27" s="29">
        <f t="shared" si="81"/>
        <v>0</v>
      </c>
      <c r="AN27" s="34">
        <f t="shared" si="22"/>
        <v>-2</v>
      </c>
      <c r="AO27" s="35">
        <f t="shared" si="23"/>
        <v>-1</v>
      </c>
      <c r="AP27" s="33">
        <f t="shared" si="24"/>
        <v>0</v>
      </c>
      <c r="AQ27" s="36">
        <f t="shared" si="25"/>
        <v>38</v>
      </c>
      <c r="AR27" s="29">
        <v>37.0</v>
      </c>
      <c r="AS27" s="29">
        <v>37.0</v>
      </c>
      <c r="AT27" s="29">
        <f t="shared" si="26"/>
        <v>0</v>
      </c>
      <c r="AU27" s="35">
        <f t="shared" si="27"/>
        <v>0</v>
      </c>
      <c r="AV27" s="33">
        <f t="shared" si="28"/>
        <v>4.986993382</v>
      </c>
      <c r="AW27" s="33">
        <f t="shared" si="46"/>
        <v>4.41855238</v>
      </c>
      <c r="AX27" s="36">
        <f t="shared" si="29"/>
        <v>42</v>
      </c>
      <c r="AY27" s="33">
        <v>315.0</v>
      </c>
      <c r="AZ27" s="33">
        <v>69.0</v>
      </c>
      <c r="BA27" s="29">
        <f t="shared" si="30"/>
        <v>-246</v>
      </c>
      <c r="BB27" s="35">
        <f t="shared" si="31"/>
        <v>-0.780952381</v>
      </c>
      <c r="BC27" s="36">
        <f t="shared" si="32"/>
        <v>9.30006874</v>
      </c>
      <c r="BD27" s="33">
        <f t="shared" si="33"/>
        <v>4.653161894</v>
      </c>
      <c r="BE27" s="36">
        <f t="shared" si="34"/>
        <v>50</v>
      </c>
      <c r="BF27" s="29">
        <f t="shared" si="35"/>
        <v>44.05</v>
      </c>
      <c r="BH27" s="29">
        <f t="shared" si="47"/>
        <v>43.6</v>
      </c>
      <c r="BI27" s="1">
        <f t="shared" si="36"/>
        <v>46</v>
      </c>
      <c r="BJ27" s="1">
        <f t="shared" si="37"/>
        <v>4.535857137</v>
      </c>
      <c r="BK27" s="1">
        <f t="shared" si="38"/>
        <v>45</v>
      </c>
      <c r="BL27" s="3">
        <f t="shared" si="39"/>
        <v>0</v>
      </c>
      <c r="BM27" s="33">
        <f t="shared" si="40"/>
        <v>15</v>
      </c>
      <c r="BN27" s="3">
        <f t="shared" si="41"/>
        <v>-33.15676681</v>
      </c>
      <c r="BO27" s="33">
        <f t="shared" si="42"/>
        <v>6</v>
      </c>
      <c r="BP27" s="1">
        <f t="shared" si="43"/>
        <v>10.5</v>
      </c>
    </row>
    <row r="28" ht="15.75" customHeight="1">
      <c r="C28" s="29"/>
      <c r="D28" s="30" t="s">
        <v>63</v>
      </c>
      <c r="E28" s="31"/>
      <c r="F28" s="31"/>
      <c r="G28" s="31"/>
      <c r="H28" s="31"/>
      <c r="I28" s="31">
        <v>5.0</v>
      </c>
      <c r="J28" s="27">
        <v>209616.0</v>
      </c>
      <c r="K28" s="33">
        <v>14.0</v>
      </c>
      <c r="L28" s="33">
        <v>19.0</v>
      </c>
      <c r="M28" s="34">
        <v>5.0</v>
      </c>
      <c r="N28" s="35">
        <f t="shared" si="4"/>
        <v>0.3571428571</v>
      </c>
      <c r="O28" s="36">
        <f t="shared" si="5"/>
        <v>19</v>
      </c>
      <c r="P28" s="29">
        <v>2.0</v>
      </c>
      <c r="Q28" s="29">
        <v>11.0</v>
      </c>
      <c r="R28" s="34">
        <f t="shared" si="6"/>
        <v>9</v>
      </c>
      <c r="S28" s="35">
        <f t="shared" si="7"/>
        <v>4.5</v>
      </c>
      <c r="T28" s="36">
        <f t="shared" si="8"/>
        <v>20</v>
      </c>
      <c r="U28" s="29">
        <v>133.0</v>
      </c>
      <c r="V28" s="29">
        <v>253.0</v>
      </c>
      <c r="W28" s="29">
        <f t="shared" si="9"/>
        <v>120</v>
      </c>
      <c r="X28" s="35">
        <f t="shared" si="10"/>
        <v>0.9022556391</v>
      </c>
      <c r="Y28" s="36">
        <f t="shared" si="11"/>
        <v>14</v>
      </c>
      <c r="Z28" s="33">
        <v>335.0</v>
      </c>
      <c r="AA28" s="33">
        <v>852.0</v>
      </c>
      <c r="AB28" s="29">
        <f t="shared" si="12"/>
        <v>517</v>
      </c>
      <c r="AC28" s="35">
        <f t="shared" si="13"/>
        <v>1.543283582</v>
      </c>
      <c r="AD28" s="36">
        <f t="shared" si="14"/>
        <v>13</v>
      </c>
      <c r="AE28" s="29">
        <f t="shared" si="15"/>
        <v>15.3</v>
      </c>
      <c r="AF28" s="33">
        <f t="shared" ref="AF28:AG28" si="82">K28</f>
        <v>14</v>
      </c>
      <c r="AG28" s="33">
        <f t="shared" si="82"/>
        <v>19</v>
      </c>
      <c r="AH28" s="34">
        <f t="shared" si="17"/>
        <v>5</v>
      </c>
      <c r="AI28" s="35">
        <f t="shared" si="18"/>
        <v>0.3571428571</v>
      </c>
      <c r="AJ28" s="33">
        <f t="shared" si="19"/>
        <v>0.9064193573</v>
      </c>
      <c r="AK28" s="36">
        <f t="shared" si="20"/>
        <v>20</v>
      </c>
      <c r="AL28" s="29">
        <f t="shared" ref="AL28:AM28" si="83">P28</f>
        <v>2</v>
      </c>
      <c r="AM28" s="29">
        <f t="shared" si="83"/>
        <v>11</v>
      </c>
      <c r="AN28" s="34">
        <f t="shared" si="22"/>
        <v>9</v>
      </c>
      <c r="AO28" s="35">
        <f t="shared" si="23"/>
        <v>4.5</v>
      </c>
      <c r="AP28" s="33">
        <f t="shared" si="24"/>
        <v>0.5247691016</v>
      </c>
      <c r="AQ28" s="36">
        <f t="shared" si="25"/>
        <v>23</v>
      </c>
      <c r="AR28" s="29">
        <v>133.0</v>
      </c>
      <c r="AS28" s="29">
        <v>253.0</v>
      </c>
      <c r="AT28" s="29">
        <f t="shared" si="26"/>
        <v>120</v>
      </c>
      <c r="AU28" s="35">
        <f t="shared" si="27"/>
        <v>0.9022556391</v>
      </c>
      <c r="AV28" s="33">
        <f t="shared" si="28"/>
        <v>12.06968934</v>
      </c>
      <c r="AW28" s="33">
        <f t="shared" si="46"/>
        <v>3.592760888</v>
      </c>
      <c r="AX28" s="36">
        <f t="shared" si="29"/>
        <v>19</v>
      </c>
      <c r="AY28" s="33">
        <v>335.0</v>
      </c>
      <c r="AZ28" s="33">
        <v>852.0</v>
      </c>
      <c r="BA28" s="29">
        <f t="shared" si="30"/>
        <v>517</v>
      </c>
      <c r="BB28" s="35">
        <f t="shared" si="31"/>
        <v>1.543283582</v>
      </c>
      <c r="BC28" s="36">
        <f t="shared" si="32"/>
        <v>40.64575223</v>
      </c>
      <c r="BD28" s="33">
        <f t="shared" si="33"/>
        <v>3.484151449</v>
      </c>
      <c r="BE28" s="36">
        <f t="shared" si="34"/>
        <v>16</v>
      </c>
      <c r="BF28" s="29">
        <f t="shared" si="35"/>
        <v>18.7</v>
      </c>
      <c r="BH28" s="29">
        <f t="shared" si="47"/>
        <v>18.1</v>
      </c>
      <c r="BI28" s="1">
        <f t="shared" si="36"/>
        <v>17.5</v>
      </c>
      <c r="BJ28" s="1">
        <f t="shared" si="37"/>
        <v>3.538456169</v>
      </c>
      <c r="BK28" s="1">
        <f t="shared" si="38"/>
        <v>16</v>
      </c>
      <c r="BL28" s="3">
        <f t="shared" si="39"/>
        <v>5.724753836</v>
      </c>
      <c r="BM28" s="33">
        <f t="shared" si="40"/>
        <v>46</v>
      </c>
      <c r="BN28" s="3">
        <f t="shared" si="41"/>
        <v>24.66414777</v>
      </c>
      <c r="BO28" s="33">
        <f t="shared" si="42"/>
        <v>53</v>
      </c>
      <c r="BP28" s="1">
        <f t="shared" si="43"/>
        <v>49.5</v>
      </c>
    </row>
    <row r="29" ht="15.75" customHeight="1">
      <c r="C29" s="29"/>
      <c r="D29" s="30" t="s">
        <v>64</v>
      </c>
      <c r="E29" s="31"/>
      <c r="F29" s="31"/>
      <c r="G29" s="31"/>
      <c r="H29" s="31"/>
      <c r="I29" s="31">
        <v>8.0</v>
      </c>
      <c r="J29" s="27">
        <v>278578.0</v>
      </c>
      <c r="K29" s="33">
        <v>17.0</v>
      </c>
      <c r="L29" s="33">
        <v>24.0</v>
      </c>
      <c r="M29" s="34">
        <v>7.0</v>
      </c>
      <c r="N29" s="35">
        <f t="shared" si="4"/>
        <v>0.4117647059</v>
      </c>
      <c r="O29" s="36">
        <f t="shared" si="5"/>
        <v>13</v>
      </c>
      <c r="P29" s="29">
        <v>17.0</v>
      </c>
      <c r="Q29" s="29">
        <v>2.0</v>
      </c>
      <c r="R29" s="34">
        <f t="shared" si="6"/>
        <v>-15</v>
      </c>
      <c r="S29" s="35">
        <f t="shared" si="7"/>
        <v>-0.8823529412</v>
      </c>
      <c r="T29" s="36">
        <f t="shared" si="8"/>
        <v>31</v>
      </c>
      <c r="U29" s="29">
        <v>156.0</v>
      </c>
      <c r="V29" s="29">
        <v>237.0</v>
      </c>
      <c r="W29" s="29">
        <f t="shared" si="9"/>
        <v>81</v>
      </c>
      <c r="X29" s="35">
        <f t="shared" si="10"/>
        <v>0.5192307692</v>
      </c>
      <c r="Y29" s="36">
        <f t="shared" si="11"/>
        <v>17</v>
      </c>
      <c r="Z29" s="33">
        <v>689.0</v>
      </c>
      <c r="AA29" s="33">
        <v>617.0</v>
      </c>
      <c r="AB29" s="29">
        <f t="shared" si="12"/>
        <v>-72</v>
      </c>
      <c r="AC29" s="35">
        <f t="shared" si="13"/>
        <v>-0.1044992743</v>
      </c>
      <c r="AD29" s="36">
        <f t="shared" si="14"/>
        <v>18</v>
      </c>
      <c r="AE29" s="29">
        <f t="shared" si="15"/>
        <v>18.85</v>
      </c>
      <c r="AF29" s="33">
        <f t="shared" ref="AF29:AG29" si="84">K29</f>
        <v>17</v>
      </c>
      <c r="AG29" s="33">
        <f t="shared" si="84"/>
        <v>24</v>
      </c>
      <c r="AH29" s="34">
        <f t="shared" si="17"/>
        <v>7</v>
      </c>
      <c r="AI29" s="35">
        <f t="shared" si="18"/>
        <v>0.4117647059</v>
      </c>
      <c r="AJ29" s="33">
        <f t="shared" si="19"/>
        <v>0.8615181385</v>
      </c>
      <c r="AK29" s="36">
        <f t="shared" si="20"/>
        <v>22</v>
      </c>
      <c r="AL29" s="29">
        <f t="shared" ref="AL29:AM29" si="85">P29</f>
        <v>17</v>
      </c>
      <c r="AM29" s="29">
        <f t="shared" si="85"/>
        <v>2</v>
      </c>
      <c r="AN29" s="34">
        <f t="shared" si="22"/>
        <v>-15</v>
      </c>
      <c r="AO29" s="35">
        <f t="shared" si="23"/>
        <v>-0.8823529412</v>
      </c>
      <c r="AP29" s="33">
        <f t="shared" si="24"/>
        <v>0.07179317821</v>
      </c>
      <c r="AQ29" s="36">
        <f t="shared" si="25"/>
        <v>35</v>
      </c>
      <c r="AR29" s="29">
        <v>156.0</v>
      </c>
      <c r="AS29" s="29">
        <v>237.0</v>
      </c>
      <c r="AT29" s="29">
        <f t="shared" si="26"/>
        <v>81</v>
      </c>
      <c r="AU29" s="35">
        <f t="shared" si="27"/>
        <v>0.5192307692</v>
      </c>
      <c r="AV29" s="33">
        <f t="shared" si="28"/>
        <v>8.507491618</v>
      </c>
      <c r="AW29" s="33">
        <f t="shared" si="46"/>
        <v>4.008087564</v>
      </c>
      <c r="AX29" s="36">
        <f t="shared" si="29"/>
        <v>30</v>
      </c>
      <c r="AY29" s="33">
        <v>689.0</v>
      </c>
      <c r="AZ29" s="33">
        <v>617.0</v>
      </c>
      <c r="BA29" s="29">
        <f t="shared" si="30"/>
        <v>-72</v>
      </c>
      <c r="BB29" s="35">
        <f t="shared" si="31"/>
        <v>-0.1044992743</v>
      </c>
      <c r="BC29" s="36">
        <f t="shared" si="32"/>
        <v>22.14819548</v>
      </c>
      <c r="BD29" s="33">
        <f t="shared" si="33"/>
        <v>4.174002001</v>
      </c>
      <c r="BE29" s="36">
        <f t="shared" si="34"/>
        <v>35</v>
      </c>
      <c r="BF29" s="29">
        <f t="shared" si="35"/>
        <v>31.3</v>
      </c>
      <c r="BH29" s="29">
        <f t="shared" si="47"/>
        <v>29.35</v>
      </c>
      <c r="BI29" s="1">
        <f t="shared" si="36"/>
        <v>32.5</v>
      </c>
      <c r="BJ29" s="1">
        <f t="shared" si="37"/>
        <v>4.091044783</v>
      </c>
      <c r="BK29" s="1">
        <f t="shared" si="38"/>
        <v>33</v>
      </c>
      <c r="BL29" s="3">
        <f t="shared" si="39"/>
        <v>2.907623718</v>
      </c>
      <c r="BM29" s="33">
        <f t="shared" si="40"/>
        <v>33</v>
      </c>
      <c r="BN29" s="3">
        <f t="shared" si="41"/>
        <v>-2.584554416</v>
      </c>
      <c r="BO29" s="33">
        <f t="shared" si="42"/>
        <v>28</v>
      </c>
      <c r="BP29" s="1">
        <f t="shared" si="43"/>
        <v>30.5</v>
      </c>
    </row>
    <row r="30" ht="15.75" customHeight="1">
      <c r="C30" s="29"/>
      <c r="D30" s="30" t="s">
        <v>65</v>
      </c>
      <c r="E30" s="31"/>
      <c r="F30" s="31"/>
      <c r="G30" s="31"/>
      <c r="H30" s="31"/>
      <c r="I30" s="31">
        <v>7.0</v>
      </c>
      <c r="J30" s="27">
        <v>119957.0</v>
      </c>
      <c r="K30" s="33">
        <v>0.0</v>
      </c>
      <c r="L30" s="33">
        <v>6.0</v>
      </c>
      <c r="M30" s="34">
        <v>6.0</v>
      </c>
      <c r="N30" s="35" t="str">
        <f t="shared" si="4"/>
        <v>-</v>
      </c>
      <c r="O30" s="36">
        <f t="shared" si="5"/>
        <v>29</v>
      </c>
      <c r="P30" s="29">
        <v>0.0</v>
      </c>
      <c r="Q30" s="29">
        <v>18.0</v>
      </c>
      <c r="R30" s="34">
        <f t="shared" si="6"/>
        <v>18</v>
      </c>
      <c r="S30" s="35" t="str">
        <f t="shared" si="7"/>
        <v>-</v>
      </c>
      <c r="T30" s="36">
        <f t="shared" si="8"/>
        <v>12</v>
      </c>
      <c r="U30" s="29">
        <v>45.0</v>
      </c>
      <c r="V30" s="29">
        <v>40.0</v>
      </c>
      <c r="W30" s="29">
        <f t="shared" si="9"/>
        <v>-5</v>
      </c>
      <c r="X30" s="35">
        <f t="shared" si="10"/>
        <v>-0.1111111111</v>
      </c>
      <c r="Y30" s="36">
        <f t="shared" si="11"/>
        <v>42</v>
      </c>
      <c r="Z30" s="33">
        <v>320.0</v>
      </c>
      <c r="AA30" s="33">
        <v>279.0</v>
      </c>
      <c r="AB30" s="29">
        <f t="shared" si="12"/>
        <v>-41</v>
      </c>
      <c r="AC30" s="35">
        <f t="shared" si="13"/>
        <v>-0.128125</v>
      </c>
      <c r="AD30" s="36">
        <f t="shared" si="14"/>
        <v>30</v>
      </c>
      <c r="AE30" s="29">
        <f t="shared" si="15"/>
        <v>31.35</v>
      </c>
      <c r="AF30" s="33">
        <f t="shared" ref="AF30:AG30" si="86">K30</f>
        <v>0</v>
      </c>
      <c r="AG30" s="33">
        <f t="shared" si="86"/>
        <v>6</v>
      </c>
      <c r="AH30" s="34">
        <f t="shared" si="17"/>
        <v>6</v>
      </c>
      <c r="AI30" s="35" t="str">
        <f t="shared" si="18"/>
        <v>-</v>
      </c>
      <c r="AJ30" s="33">
        <f t="shared" si="19"/>
        <v>0.5001792309</v>
      </c>
      <c r="AK30" s="36">
        <f t="shared" si="20"/>
        <v>32</v>
      </c>
      <c r="AL30" s="29">
        <f t="shared" ref="AL30:AM30" si="87">P30</f>
        <v>0</v>
      </c>
      <c r="AM30" s="29">
        <f t="shared" si="87"/>
        <v>18</v>
      </c>
      <c r="AN30" s="34">
        <f t="shared" si="22"/>
        <v>18</v>
      </c>
      <c r="AO30" s="35" t="str">
        <f t="shared" si="23"/>
        <v>-</v>
      </c>
      <c r="AP30" s="33">
        <f t="shared" si="24"/>
        <v>1.500537693</v>
      </c>
      <c r="AQ30" s="36">
        <f t="shared" si="25"/>
        <v>8</v>
      </c>
      <c r="AR30" s="29">
        <v>45.0</v>
      </c>
      <c r="AS30" s="29">
        <v>40.0</v>
      </c>
      <c r="AT30" s="29">
        <f t="shared" si="26"/>
        <v>-5</v>
      </c>
      <c r="AU30" s="35">
        <f t="shared" si="27"/>
        <v>-0.1111111111</v>
      </c>
      <c r="AV30" s="33">
        <f t="shared" si="28"/>
        <v>3.334528206</v>
      </c>
      <c r="AW30" s="33">
        <f t="shared" si="46"/>
        <v>4.611217954</v>
      </c>
      <c r="AX30" s="36">
        <f t="shared" si="29"/>
        <v>47</v>
      </c>
      <c r="AY30" s="33">
        <v>320.0</v>
      </c>
      <c r="AZ30" s="33">
        <v>279.0</v>
      </c>
      <c r="BA30" s="29">
        <f t="shared" si="30"/>
        <v>-41</v>
      </c>
      <c r="BB30" s="35">
        <f t="shared" si="31"/>
        <v>-0.128125</v>
      </c>
      <c r="BC30" s="36">
        <f t="shared" si="32"/>
        <v>23.25833424</v>
      </c>
      <c r="BD30" s="33">
        <f t="shared" si="33"/>
        <v>4.132600326</v>
      </c>
      <c r="BE30" s="36">
        <f t="shared" si="34"/>
        <v>30</v>
      </c>
      <c r="BF30" s="29">
        <f t="shared" si="35"/>
        <v>32.95</v>
      </c>
      <c r="BH30" s="29">
        <f t="shared" si="47"/>
        <v>33.1</v>
      </c>
      <c r="BI30" s="1">
        <f t="shared" si="36"/>
        <v>38.5</v>
      </c>
      <c r="BJ30" s="1">
        <f t="shared" si="37"/>
        <v>4.37190914</v>
      </c>
      <c r="BK30" s="1">
        <f t="shared" si="38"/>
        <v>42</v>
      </c>
      <c r="BL30" s="3">
        <f t="shared" si="39"/>
        <v>-0.4168160257</v>
      </c>
      <c r="BM30" s="33">
        <f t="shared" si="40"/>
        <v>10</v>
      </c>
      <c r="BN30" s="3">
        <f t="shared" si="41"/>
        <v>-3.417891411</v>
      </c>
      <c r="BO30" s="33">
        <f t="shared" si="42"/>
        <v>24</v>
      </c>
      <c r="BP30" s="1">
        <f t="shared" si="43"/>
        <v>17</v>
      </c>
    </row>
    <row r="31" ht="15.75" customHeight="1">
      <c r="C31" s="29"/>
      <c r="D31" s="30" t="s">
        <v>66</v>
      </c>
      <c r="E31" s="31"/>
      <c r="F31" s="31"/>
      <c r="G31" s="31"/>
      <c r="H31" s="31"/>
      <c r="I31" s="31">
        <v>35.0</v>
      </c>
      <c r="J31" s="27">
        <v>81968.0</v>
      </c>
      <c r="K31" s="33">
        <v>1.0</v>
      </c>
      <c r="L31" s="33">
        <v>7.0</v>
      </c>
      <c r="M31" s="34">
        <v>6.0</v>
      </c>
      <c r="N31" s="35">
        <f t="shared" si="4"/>
        <v>6</v>
      </c>
      <c r="O31" s="36">
        <f t="shared" si="5"/>
        <v>27</v>
      </c>
      <c r="P31" s="29">
        <v>4.0</v>
      </c>
      <c r="Q31" s="29">
        <v>89.0</v>
      </c>
      <c r="R31" s="34">
        <f t="shared" si="6"/>
        <v>85</v>
      </c>
      <c r="S31" s="35">
        <f t="shared" si="7"/>
        <v>21.25</v>
      </c>
      <c r="T31" s="36">
        <f t="shared" si="8"/>
        <v>1</v>
      </c>
      <c r="U31" s="29">
        <v>18.0</v>
      </c>
      <c r="V31" s="29">
        <v>99.0</v>
      </c>
      <c r="W31" s="29">
        <f t="shared" si="9"/>
        <v>81</v>
      </c>
      <c r="X31" s="35">
        <f t="shared" si="10"/>
        <v>4.5</v>
      </c>
      <c r="Y31" s="36">
        <f t="shared" si="11"/>
        <v>33</v>
      </c>
      <c r="Z31" s="33">
        <v>306.0</v>
      </c>
      <c r="AA31" s="33">
        <v>278.0</v>
      </c>
      <c r="AB31" s="29">
        <f t="shared" si="12"/>
        <v>-28</v>
      </c>
      <c r="AC31" s="35">
        <f t="shared" si="13"/>
        <v>-0.09150326797</v>
      </c>
      <c r="AD31" s="36">
        <f t="shared" si="14"/>
        <v>31</v>
      </c>
      <c r="AE31" s="29">
        <f t="shared" si="15"/>
        <v>26.6</v>
      </c>
      <c r="AF31" s="33">
        <f t="shared" ref="AF31:AG31" si="88">K31</f>
        <v>1</v>
      </c>
      <c r="AG31" s="33">
        <f t="shared" si="88"/>
        <v>7</v>
      </c>
      <c r="AH31" s="34">
        <f t="shared" si="17"/>
        <v>6</v>
      </c>
      <c r="AI31" s="35">
        <f t="shared" si="18"/>
        <v>6</v>
      </c>
      <c r="AJ31" s="33">
        <f t="shared" si="19"/>
        <v>0.8539918017</v>
      </c>
      <c r="AK31" s="36">
        <f t="shared" si="20"/>
        <v>23</v>
      </c>
      <c r="AL31" s="29">
        <f t="shared" ref="AL31:AM31" si="89">P31</f>
        <v>4</v>
      </c>
      <c r="AM31" s="29">
        <f t="shared" si="89"/>
        <v>89</v>
      </c>
      <c r="AN31" s="34">
        <f t="shared" si="22"/>
        <v>85</v>
      </c>
      <c r="AO31" s="35">
        <f t="shared" si="23"/>
        <v>21.25</v>
      </c>
      <c r="AP31" s="33">
        <f t="shared" si="24"/>
        <v>10.85789576</v>
      </c>
      <c r="AQ31" s="36">
        <f t="shared" si="25"/>
        <v>1</v>
      </c>
      <c r="AR31" s="29">
        <v>18.0</v>
      </c>
      <c r="AS31" s="29">
        <v>99.0</v>
      </c>
      <c r="AT31" s="29">
        <f t="shared" si="26"/>
        <v>81</v>
      </c>
      <c r="AU31" s="35">
        <f t="shared" si="27"/>
        <v>4.5</v>
      </c>
      <c r="AV31" s="33">
        <f t="shared" si="28"/>
        <v>12.07788405</v>
      </c>
      <c r="AW31" s="33">
        <f t="shared" si="46"/>
        <v>3.591805443</v>
      </c>
      <c r="AX31" s="36">
        <f t="shared" si="29"/>
        <v>18</v>
      </c>
      <c r="AY31" s="33">
        <v>306.0</v>
      </c>
      <c r="AZ31" s="33">
        <v>278.0</v>
      </c>
      <c r="BA31" s="29">
        <f t="shared" si="30"/>
        <v>-28</v>
      </c>
      <c r="BB31" s="35">
        <f t="shared" si="31"/>
        <v>-0.09150326797</v>
      </c>
      <c r="BC31" s="36">
        <f t="shared" si="32"/>
        <v>33.91567441</v>
      </c>
      <c r="BD31" s="33">
        <f t="shared" si="33"/>
        <v>3.735143943</v>
      </c>
      <c r="BE31" s="36">
        <f t="shared" si="34"/>
        <v>21</v>
      </c>
      <c r="BF31" s="29">
        <f t="shared" si="35"/>
        <v>17.25</v>
      </c>
      <c r="BH31" s="29">
        <f t="shared" si="47"/>
        <v>17.85</v>
      </c>
      <c r="BI31" s="1">
        <f t="shared" si="36"/>
        <v>19.5</v>
      </c>
      <c r="BJ31" s="1">
        <f t="shared" si="37"/>
        <v>3.663474693</v>
      </c>
      <c r="BK31" s="1">
        <f t="shared" si="38"/>
        <v>20</v>
      </c>
      <c r="BL31" s="3">
        <f t="shared" si="39"/>
        <v>9.881905134</v>
      </c>
      <c r="BM31" s="33">
        <f t="shared" si="40"/>
        <v>52</v>
      </c>
      <c r="BN31" s="3">
        <f t="shared" si="41"/>
        <v>-3.415967207</v>
      </c>
      <c r="BO31" s="33">
        <f t="shared" si="42"/>
        <v>25</v>
      </c>
      <c r="BP31" s="1">
        <f t="shared" si="43"/>
        <v>38.5</v>
      </c>
    </row>
    <row r="32" ht="15.75" customHeight="1">
      <c r="C32" s="29"/>
      <c r="D32" s="30" t="s">
        <v>67</v>
      </c>
      <c r="E32" s="31"/>
      <c r="F32" s="31"/>
      <c r="G32" s="31"/>
      <c r="H32" s="31"/>
      <c r="I32" s="31">
        <v>2.0</v>
      </c>
      <c r="J32" s="27">
        <v>148369.0</v>
      </c>
      <c r="K32" s="33">
        <v>28.0</v>
      </c>
      <c r="L32" s="33">
        <v>41.0</v>
      </c>
      <c r="M32" s="34">
        <v>13.0</v>
      </c>
      <c r="N32" s="35">
        <f t="shared" si="4"/>
        <v>0.4642857143</v>
      </c>
      <c r="O32" s="36">
        <f t="shared" si="5"/>
        <v>2</v>
      </c>
      <c r="P32" s="29">
        <v>6.0</v>
      </c>
      <c r="Q32" s="29">
        <v>18.0</v>
      </c>
      <c r="R32" s="34">
        <f t="shared" si="6"/>
        <v>12</v>
      </c>
      <c r="S32" s="35">
        <f t="shared" si="7"/>
        <v>2</v>
      </c>
      <c r="T32" s="36">
        <f t="shared" si="8"/>
        <v>12</v>
      </c>
      <c r="U32" s="29">
        <v>144.0</v>
      </c>
      <c r="V32" s="29">
        <v>219.0</v>
      </c>
      <c r="W32" s="29">
        <f t="shared" si="9"/>
        <v>75</v>
      </c>
      <c r="X32" s="35">
        <f t="shared" si="10"/>
        <v>0.5208333333</v>
      </c>
      <c r="Y32" s="36">
        <f t="shared" si="11"/>
        <v>19</v>
      </c>
      <c r="Z32" s="33">
        <v>600.0</v>
      </c>
      <c r="AA32" s="33">
        <v>715.0</v>
      </c>
      <c r="AB32" s="29">
        <f t="shared" si="12"/>
        <v>115</v>
      </c>
      <c r="AC32" s="35">
        <f t="shared" si="13"/>
        <v>0.1916666667</v>
      </c>
      <c r="AD32" s="36">
        <f t="shared" si="14"/>
        <v>15</v>
      </c>
      <c r="AE32" s="29">
        <f t="shared" si="15"/>
        <v>14</v>
      </c>
      <c r="AF32" s="33">
        <f t="shared" ref="AF32:AG32" si="90">K32</f>
        <v>28</v>
      </c>
      <c r="AG32" s="33">
        <f t="shared" si="90"/>
        <v>41</v>
      </c>
      <c r="AH32" s="34">
        <f t="shared" si="17"/>
        <v>13</v>
      </c>
      <c r="AI32" s="35">
        <f t="shared" si="18"/>
        <v>0.4642857143</v>
      </c>
      <c r="AJ32" s="33">
        <f t="shared" si="19"/>
        <v>2.763380491</v>
      </c>
      <c r="AK32" s="36">
        <f t="shared" si="20"/>
        <v>3</v>
      </c>
      <c r="AL32" s="29">
        <f t="shared" ref="AL32:AM32" si="91">P32</f>
        <v>6</v>
      </c>
      <c r="AM32" s="29">
        <f t="shared" si="91"/>
        <v>18</v>
      </c>
      <c r="AN32" s="34">
        <f t="shared" si="22"/>
        <v>12</v>
      </c>
      <c r="AO32" s="35">
        <f t="shared" si="23"/>
        <v>2</v>
      </c>
      <c r="AP32" s="33">
        <f t="shared" si="24"/>
        <v>1.213191435</v>
      </c>
      <c r="AQ32" s="36">
        <f t="shared" si="25"/>
        <v>12</v>
      </c>
      <c r="AR32" s="29">
        <v>144.0</v>
      </c>
      <c r="AS32" s="29">
        <v>219.0</v>
      </c>
      <c r="AT32" s="29">
        <f t="shared" si="26"/>
        <v>75</v>
      </c>
      <c r="AU32" s="35">
        <f t="shared" si="27"/>
        <v>0.5208333333</v>
      </c>
      <c r="AV32" s="33">
        <f t="shared" si="28"/>
        <v>14.76049579</v>
      </c>
      <c r="AW32" s="33">
        <f t="shared" si="46"/>
        <v>3.279032177</v>
      </c>
      <c r="AX32" s="36">
        <f t="shared" si="29"/>
        <v>12</v>
      </c>
      <c r="AY32" s="33">
        <v>600.0</v>
      </c>
      <c r="AZ32" s="33">
        <v>715.0</v>
      </c>
      <c r="BA32" s="29">
        <f t="shared" si="30"/>
        <v>115</v>
      </c>
      <c r="BB32" s="35">
        <f t="shared" si="31"/>
        <v>0.1916666667</v>
      </c>
      <c r="BC32" s="36">
        <f t="shared" si="32"/>
        <v>48.19065977</v>
      </c>
      <c r="BD32" s="33">
        <f t="shared" si="33"/>
        <v>3.202770578</v>
      </c>
      <c r="BE32" s="36">
        <f t="shared" si="34"/>
        <v>12</v>
      </c>
      <c r="BF32" s="29">
        <f t="shared" si="35"/>
        <v>10.65</v>
      </c>
      <c r="BH32" s="29">
        <f t="shared" si="47"/>
        <v>10.5</v>
      </c>
      <c r="BI32" s="1">
        <f t="shared" si="36"/>
        <v>12</v>
      </c>
      <c r="BJ32" s="1">
        <f t="shared" si="37"/>
        <v>3.240901377</v>
      </c>
      <c r="BK32" s="1">
        <f t="shared" si="38"/>
        <v>13</v>
      </c>
      <c r="BL32" s="3">
        <f t="shared" si="39"/>
        <v>5.054964312</v>
      </c>
      <c r="BM32" s="33">
        <f t="shared" si="40"/>
        <v>41</v>
      </c>
      <c r="BN32" s="3">
        <f t="shared" si="41"/>
        <v>7.750945278</v>
      </c>
      <c r="BO32" s="33">
        <f t="shared" si="42"/>
        <v>45</v>
      </c>
      <c r="BP32" s="1">
        <f t="shared" si="43"/>
        <v>43</v>
      </c>
    </row>
    <row r="33" ht="15.75" customHeight="1">
      <c r="C33" s="29"/>
      <c r="D33" s="30" t="s">
        <v>68</v>
      </c>
      <c r="E33" s="31"/>
      <c r="F33" s="31"/>
      <c r="G33" s="31"/>
      <c r="H33" s="31"/>
      <c r="I33" s="31">
        <v>1.0</v>
      </c>
      <c r="J33" s="27">
        <v>64223.0</v>
      </c>
      <c r="K33" s="33">
        <v>2.0</v>
      </c>
      <c r="L33" s="33">
        <v>9.0</v>
      </c>
      <c r="M33" s="34">
        <v>7.0</v>
      </c>
      <c r="N33" s="35">
        <f t="shared" si="4"/>
        <v>3.5</v>
      </c>
      <c r="O33" s="36">
        <f t="shared" si="5"/>
        <v>25</v>
      </c>
      <c r="P33" s="29">
        <v>1.0</v>
      </c>
      <c r="Q33" s="29">
        <v>12.0</v>
      </c>
      <c r="R33" s="34">
        <f t="shared" si="6"/>
        <v>11</v>
      </c>
      <c r="S33" s="35">
        <f t="shared" si="7"/>
        <v>11</v>
      </c>
      <c r="T33" s="36">
        <f t="shared" si="8"/>
        <v>17</v>
      </c>
      <c r="U33" s="29">
        <v>19.0</v>
      </c>
      <c r="V33" s="29">
        <v>66.0</v>
      </c>
      <c r="W33" s="29">
        <f t="shared" si="9"/>
        <v>47</v>
      </c>
      <c r="X33" s="35">
        <f t="shared" si="10"/>
        <v>2.473684211</v>
      </c>
      <c r="Y33" s="36">
        <f t="shared" si="11"/>
        <v>37</v>
      </c>
      <c r="Z33" s="33">
        <v>217.0</v>
      </c>
      <c r="AA33" s="33">
        <v>232.0</v>
      </c>
      <c r="AB33" s="29">
        <f t="shared" si="12"/>
        <v>15</v>
      </c>
      <c r="AC33" s="35">
        <f t="shared" si="13"/>
        <v>0.06912442396</v>
      </c>
      <c r="AD33" s="36">
        <f t="shared" si="14"/>
        <v>35</v>
      </c>
      <c r="AE33" s="29">
        <f t="shared" si="15"/>
        <v>31.5</v>
      </c>
      <c r="AF33" s="33">
        <f t="shared" ref="AF33:AG33" si="92">K33</f>
        <v>2</v>
      </c>
      <c r="AG33" s="33">
        <f t="shared" si="92"/>
        <v>9</v>
      </c>
      <c r="AH33" s="34">
        <f t="shared" si="17"/>
        <v>7</v>
      </c>
      <c r="AI33" s="35">
        <f t="shared" si="18"/>
        <v>3.5</v>
      </c>
      <c r="AJ33" s="33">
        <f t="shared" si="19"/>
        <v>1.401367111</v>
      </c>
      <c r="AK33" s="36">
        <f t="shared" si="20"/>
        <v>14</v>
      </c>
      <c r="AL33" s="29">
        <f t="shared" ref="AL33:AM33" si="93">P33</f>
        <v>1</v>
      </c>
      <c r="AM33" s="29">
        <f t="shared" si="93"/>
        <v>12</v>
      </c>
      <c r="AN33" s="34">
        <f t="shared" si="22"/>
        <v>11</v>
      </c>
      <c r="AO33" s="35">
        <f t="shared" si="23"/>
        <v>11</v>
      </c>
      <c r="AP33" s="33">
        <f t="shared" si="24"/>
        <v>1.868489482</v>
      </c>
      <c r="AQ33" s="36">
        <f t="shared" si="25"/>
        <v>6</v>
      </c>
      <c r="AR33" s="29">
        <v>19.0</v>
      </c>
      <c r="AS33" s="29">
        <v>66.0</v>
      </c>
      <c r="AT33" s="29">
        <f t="shared" si="26"/>
        <v>47</v>
      </c>
      <c r="AU33" s="35">
        <f t="shared" si="27"/>
        <v>2.473684211</v>
      </c>
      <c r="AV33" s="33">
        <f t="shared" si="28"/>
        <v>10.27669215</v>
      </c>
      <c r="AW33" s="33">
        <f t="shared" si="46"/>
        <v>3.801811486</v>
      </c>
      <c r="AX33" s="36">
        <f t="shared" si="29"/>
        <v>24</v>
      </c>
      <c r="AY33" s="33">
        <v>217.0</v>
      </c>
      <c r="AZ33" s="33">
        <v>232.0</v>
      </c>
      <c r="BA33" s="29">
        <f t="shared" si="30"/>
        <v>15</v>
      </c>
      <c r="BB33" s="35">
        <f t="shared" si="31"/>
        <v>0.06912442396</v>
      </c>
      <c r="BC33" s="36">
        <f t="shared" si="32"/>
        <v>36.12412998</v>
      </c>
      <c r="BD33" s="33">
        <f t="shared" si="33"/>
        <v>3.652781482</v>
      </c>
      <c r="BE33" s="36">
        <f t="shared" si="34"/>
        <v>19</v>
      </c>
      <c r="BF33" s="29">
        <f t="shared" si="35"/>
        <v>18.05</v>
      </c>
      <c r="BH33" s="29">
        <f t="shared" si="47"/>
        <v>21.35</v>
      </c>
      <c r="BI33" s="1">
        <f t="shared" si="36"/>
        <v>21.5</v>
      </c>
      <c r="BJ33" s="1">
        <f t="shared" si="37"/>
        <v>3.727296484</v>
      </c>
      <c r="BK33" s="1">
        <f t="shared" si="38"/>
        <v>22</v>
      </c>
      <c r="BL33" s="3">
        <f t="shared" si="39"/>
        <v>7.318250471</v>
      </c>
      <c r="BM33" s="33">
        <f t="shared" si="40"/>
        <v>50</v>
      </c>
      <c r="BN33" s="3">
        <f t="shared" si="41"/>
        <v>2.335611852</v>
      </c>
      <c r="BO33" s="33">
        <f t="shared" si="42"/>
        <v>39</v>
      </c>
      <c r="BP33" s="1">
        <f t="shared" si="43"/>
        <v>44.5</v>
      </c>
    </row>
    <row r="34" ht="15.75" customHeight="1">
      <c r="C34" s="29"/>
      <c r="D34" s="30" t="s">
        <v>69</v>
      </c>
      <c r="E34" s="31"/>
      <c r="F34" s="31"/>
      <c r="G34" s="31"/>
      <c r="H34" s="31"/>
      <c r="I34" s="31">
        <v>6.0</v>
      </c>
      <c r="J34" s="37">
        <v>164318.0</v>
      </c>
      <c r="K34" s="33">
        <v>29.0</v>
      </c>
      <c r="L34" s="33">
        <v>29.0</v>
      </c>
      <c r="M34" s="34">
        <v>0.0</v>
      </c>
      <c r="N34" s="35">
        <f t="shared" si="4"/>
        <v>0</v>
      </c>
      <c r="O34" s="36">
        <f t="shared" si="5"/>
        <v>8</v>
      </c>
      <c r="P34" s="29">
        <v>12.0</v>
      </c>
      <c r="Q34" s="29">
        <v>53.0</v>
      </c>
      <c r="R34" s="34">
        <f t="shared" si="6"/>
        <v>41</v>
      </c>
      <c r="S34" s="35">
        <f t="shared" si="7"/>
        <v>3.416666667</v>
      </c>
      <c r="T34" s="36">
        <f t="shared" si="8"/>
        <v>4</v>
      </c>
      <c r="U34" s="29">
        <v>44.0</v>
      </c>
      <c r="V34" s="29">
        <v>220.0</v>
      </c>
      <c r="W34" s="29">
        <f t="shared" si="9"/>
        <v>176</v>
      </c>
      <c r="X34" s="35">
        <f t="shared" si="10"/>
        <v>4</v>
      </c>
      <c r="Y34" s="36">
        <f t="shared" si="11"/>
        <v>18</v>
      </c>
      <c r="Z34" s="33">
        <v>962.0</v>
      </c>
      <c r="AA34" s="33">
        <v>2203.0</v>
      </c>
      <c r="AB34" s="29">
        <f t="shared" si="12"/>
        <v>1241</v>
      </c>
      <c r="AC34" s="35">
        <f t="shared" si="13"/>
        <v>1.29002079</v>
      </c>
      <c r="AD34" s="36">
        <f t="shared" si="14"/>
        <v>2</v>
      </c>
      <c r="AE34" s="29">
        <f t="shared" si="15"/>
        <v>8.8</v>
      </c>
      <c r="AF34" s="33">
        <f t="shared" ref="AF34:AG34" si="94">K34</f>
        <v>29</v>
      </c>
      <c r="AG34" s="33">
        <f t="shared" si="94"/>
        <v>29</v>
      </c>
      <c r="AH34" s="34">
        <f t="shared" si="17"/>
        <v>0</v>
      </c>
      <c r="AI34" s="35">
        <f t="shared" si="18"/>
        <v>0</v>
      </c>
      <c r="AJ34" s="33">
        <f t="shared" si="19"/>
        <v>1.764870556</v>
      </c>
      <c r="AK34" s="36">
        <f t="shared" si="20"/>
        <v>9</v>
      </c>
      <c r="AL34" s="29">
        <f t="shared" ref="AL34:AM34" si="95">P34</f>
        <v>12</v>
      </c>
      <c r="AM34" s="29">
        <f t="shared" si="95"/>
        <v>53</v>
      </c>
      <c r="AN34" s="34">
        <f t="shared" si="22"/>
        <v>41</v>
      </c>
      <c r="AO34" s="35">
        <f t="shared" si="23"/>
        <v>3.416666667</v>
      </c>
      <c r="AP34" s="33">
        <f t="shared" si="24"/>
        <v>3.225453085</v>
      </c>
      <c r="AQ34" s="36">
        <f t="shared" si="25"/>
        <v>4</v>
      </c>
      <c r="AR34" s="29">
        <v>44.0</v>
      </c>
      <c r="AS34" s="29">
        <v>220.0</v>
      </c>
      <c r="AT34" s="29">
        <f t="shared" si="26"/>
        <v>176</v>
      </c>
      <c r="AU34" s="35">
        <f t="shared" si="27"/>
        <v>4</v>
      </c>
      <c r="AV34" s="33">
        <f t="shared" si="28"/>
        <v>13.38867318</v>
      </c>
      <c r="AW34" s="33">
        <f t="shared" si="46"/>
        <v>3.438976843</v>
      </c>
      <c r="AX34" s="36">
        <f t="shared" si="29"/>
        <v>14</v>
      </c>
      <c r="AY34" s="33">
        <v>962.0</v>
      </c>
      <c r="AZ34" s="33">
        <v>2203.0</v>
      </c>
      <c r="BA34" s="29">
        <f t="shared" si="30"/>
        <v>1241</v>
      </c>
      <c r="BB34" s="35">
        <f t="shared" si="31"/>
        <v>1.29002079</v>
      </c>
      <c r="BC34" s="36">
        <f t="shared" si="32"/>
        <v>134.0693046</v>
      </c>
      <c r="BD34" s="33">
        <f t="shared" si="33"/>
        <v>0</v>
      </c>
      <c r="BE34" s="36">
        <f t="shared" si="34"/>
        <v>1</v>
      </c>
      <c r="BF34" s="29">
        <f t="shared" si="35"/>
        <v>7.2</v>
      </c>
      <c r="BH34" s="29">
        <f t="shared" si="47"/>
        <v>7.05</v>
      </c>
      <c r="BI34" s="1">
        <f t="shared" si="36"/>
        <v>7.5</v>
      </c>
      <c r="BJ34" s="1">
        <f t="shared" si="37"/>
        <v>1.719488421</v>
      </c>
      <c r="BK34" s="1">
        <f t="shared" si="38"/>
        <v>4</v>
      </c>
      <c r="BL34" s="3">
        <f t="shared" si="39"/>
        <v>10.71093855</v>
      </c>
      <c r="BM34" s="33">
        <f t="shared" si="40"/>
        <v>54</v>
      </c>
      <c r="BN34" s="3">
        <f t="shared" si="41"/>
        <v>75.52428827</v>
      </c>
      <c r="BO34" s="33">
        <f t="shared" si="42"/>
        <v>56</v>
      </c>
      <c r="BP34" s="1">
        <f t="shared" si="43"/>
        <v>55</v>
      </c>
    </row>
    <row r="35" ht="15.75" customHeight="1">
      <c r="C35" s="29"/>
      <c r="D35" s="30" t="s">
        <v>70</v>
      </c>
      <c r="E35" s="31"/>
      <c r="F35" s="31"/>
      <c r="G35" s="31"/>
      <c r="H35" s="31"/>
      <c r="I35" s="31"/>
      <c r="J35" s="37">
        <v>65122.0</v>
      </c>
      <c r="K35" s="33">
        <v>14.0</v>
      </c>
      <c r="L35" s="33">
        <v>10.0</v>
      </c>
      <c r="M35" s="34">
        <v>-4.0</v>
      </c>
      <c r="N35" s="35">
        <f t="shared" si="4"/>
        <v>-0.2857142857</v>
      </c>
      <c r="O35" s="36">
        <f t="shared" si="5"/>
        <v>24</v>
      </c>
      <c r="P35" s="29">
        <v>6.0</v>
      </c>
      <c r="Q35" s="29">
        <v>4.0</v>
      </c>
      <c r="R35" s="34">
        <f t="shared" si="6"/>
        <v>-2</v>
      </c>
      <c r="S35" s="35">
        <f t="shared" si="7"/>
        <v>-0.3333333333</v>
      </c>
      <c r="T35" s="36">
        <f t="shared" si="8"/>
        <v>28</v>
      </c>
      <c r="U35" s="29">
        <v>45.0</v>
      </c>
      <c r="V35" s="29">
        <v>79.0</v>
      </c>
      <c r="W35" s="29">
        <f t="shared" si="9"/>
        <v>34</v>
      </c>
      <c r="X35" s="35">
        <f t="shared" si="10"/>
        <v>0.7555555556</v>
      </c>
      <c r="Y35" s="36">
        <f t="shared" si="11"/>
        <v>35</v>
      </c>
      <c r="Z35" s="33">
        <v>180.0</v>
      </c>
      <c r="AA35" s="33">
        <v>241.0</v>
      </c>
      <c r="AB35" s="29">
        <f t="shared" si="12"/>
        <v>61</v>
      </c>
      <c r="AC35" s="35">
        <f t="shared" si="13"/>
        <v>0.3388888889</v>
      </c>
      <c r="AD35" s="36">
        <f t="shared" si="14"/>
        <v>34</v>
      </c>
      <c r="AE35" s="29">
        <f t="shared" si="15"/>
        <v>31.95</v>
      </c>
      <c r="AF35" s="33">
        <f t="shared" ref="AF35:AG35" si="96">K35</f>
        <v>14</v>
      </c>
      <c r="AG35" s="33">
        <f t="shared" si="96"/>
        <v>10</v>
      </c>
      <c r="AH35" s="34">
        <f t="shared" si="17"/>
        <v>-4</v>
      </c>
      <c r="AI35" s="35">
        <f t="shared" si="18"/>
        <v>-0.2857142857</v>
      </c>
      <c r="AJ35" s="33">
        <f t="shared" si="19"/>
        <v>1.535579374</v>
      </c>
      <c r="AK35" s="36">
        <f t="shared" si="20"/>
        <v>11</v>
      </c>
      <c r="AL35" s="29">
        <f t="shared" ref="AL35:AM35" si="97">P35</f>
        <v>6</v>
      </c>
      <c r="AM35" s="29">
        <f t="shared" si="97"/>
        <v>4</v>
      </c>
      <c r="AN35" s="34">
        <f t="shared" si="22"/>
        <v>-2</v>
      </c>
      <c r="AO35" s="35">
        <f t="shared" si="23"/>
        <v>-0.3333333333</v>
      </c>
      <c r="AP35" s="33">
        <f t="shared" si="24"/>
        <v>0.6142317496</v>
      </c>
      <c r="AQ35" s="36">
        <f t="shared" si="25"/>
        <v>20</v>
      </c>
      <c r="AR35" s="29">
        <v>45.0</v>
      </c>
      <c r="AS35" s="29">
        <v>79.0</v>
      </c>
      <c r="AT35" s="29">
        <f t="shared" si="26"/>
        <v>34</v>
      </c>
      <c r="AU35" s="35">
        <f t="shared" si="27"/>
        <v>0.7555555556</v>
      </c>
      <c r="AV35" s="33">
        <f t="shared" si="28"/>
        <v>12.13107706</v>
      </c>
      <c r="AW35" s="33">
        <f t="shared" si="46"/>
        <v>3.585603521</v>
      </c>
      <c r="AX35" s="36">
        <f t="shared" si="29"/>
        <v>17</v>
      </c>
      <c r="AY35" s="33">
        <v>180.0</v>
      </c>
      <c r="AZ35" s="33">
        <v>241.0</v>
      </c>
      <c r="BA35" s="29">
        <f t="shared" si="30"/>
        <v>61</v>
      </c>
      <c r="BB35" s="35">
        <f t="shared" si="31"/>
        <v>0.3388888889</v>
      </c>
      <c r="BC35" s="36">
        <f t="shared" si="32"/>
        <v>37.00746292</v>
      </c>
      <c r="BD35" s="33">
        <f t="shared" si="33"/>
        <v>3.619838336</v>
      </c>
      <c r="BE35" s="36">
        <f t="shared" si="34"/>
        <v>17</v>
      </c>
      <c r="BF35" s="29">
        <f t="shared" si="35"/>
        <v>16.55</v>
      </c>
      <c r="BH35" s="29">
        <f t="shared" si="47"/>
        <v>19.7</v>
      </c>
      <c r="BI35" s="1">
        <f t="shared" si="36"/>
        <v>17</v>
      </c>
      <c r="BJ35" s="1">
        <f t="shared" si="37"/>
        <v>3.602720929</v>
      </c>
      <c r="BK35" s="1">
        <f t="shared" si="38"/>
        <v>17</v>
      </c>
      <c r="BL35" s="3">
        <f t="shared" si="39"/>
        <v>5.220969872</v>
      </c>
      <c r="BM35" s="33">
        <f t="shared" si="40"/>
        <v>44</v>
      </c>
      <c r="BN35" s="3">
        <f t="shared" si="41"/>
        <v>9.367034182</v>
      </c>
      <c r="BO35" s="33">
        <f t="shared" si="42"/>
        <v>48</v>
      </c>
      <c r="BP35" s="1">
        <f t="shared" si="43"/>
        <v>46</v>
      </c>
    </row>
    <row r="36" ht="15.75" customHeight="1">
      <c r="C36" s="29"/>
      <c r="D36" s="30" t="s">
        <v>71</v>
      </c>
      <c r="E36" s="31"/>
      <c r="F36" s="31"/>
      <c r="G36" s="31"/>
      <c r="H36" s="31"/>
      <c r="I36" s="31"/>
      <c r="J36" s="27">
        <v>160613.0</v>
      </c>
      <c r="K36" s="33">
        <v>32.0</v>
      </c>
      <c r="L36" s="33">
        <v>28.0</v>
      </c>
      <c r="M36" s="34">
        <v>-4.0</v>
      </c>
      <c r="N36" s="35">
        <f t="shared" si="4"/>
        <v>-0.125</v>
      </c>
      <c r="O36" s="36">
        <f t="shared" si="5"/>
        <v>12</v>
      </c>
      <c r="P36" s="29">
        <v>15.0</v>
      </c>
      <c r="Q36" s="29">
        <v>6.0</v>
      </c>
      <c r="R36" s="34">
        <f t="shared" si="6"/>
        <v>-9</v>
      </c>
      <c r="S36" s="35">
        <f t="shared" si="7"/>
        <v>-0.6</v>
      </c>
      <c r="T36" s="36">
        <f t="shared" si="8"/>
        <v>23</v>
      </c>
      <c r="U36" s="29">
        <v>128.0</v>
      </c>
      <c r="V36" s="29">
        <v>242.0</v>
      </c>
      <c r="W36" s="29">
        <f t="shared" si="9"/>
        <v>114</v>
      </c>
      <c r="X36" s="35">
        <f t="shared" si="10"/>
        <v>0.890625</v>
      </c>
      <c r="Y36" s="36">
        <f t="shared" si="11"/>
        <v>16</v>
      </c>
      <c r="Z36" s="33">
        <v>638.0</v>
      </c>
      <c r="AA36" s="33">
        <v>688.0</v>
      </c>
      <c r="AB36" s="29">
        <f t="shared" si="12"/>
        <v>50</v>
      </c>
      <c r="AC36" s="35">
        <f t="shared" si="13"/>
        <v>0.07836990596</v>
      </c>
      <c r="AD36" s="36">
        <f t="shared" si="14"/>
        <v>16</v>
      </c>
      <c r="AE36" s="29">
        <f t="shared" si="15"/>
        <v>16.45</v>
      </c>
      <c r="AF36" s="33">
        <f t="shared" ref="AF36:AG36" si="98">K36</f>
        <v>32</v>
      </c>
      <c r="AG36" s="33">
        <f t="shared" si="98"/>
        <v>28</v>
      </c>
      <c r="AH36" s="34">
        <f t="shared" si="17"/>
        <v>-4</v>
      </c>
      <c r="AI36" s="35">
        <f t="shared" si="18"/>
        <v>-0.125</v>
      </c>
      <c r="AJ36" s="33">
        <f t="shared" si="19"/>
        <v>1.743320902</v>
      </c>
      <c r="AK36" s="36">
        <f t="shared" si="20"/>
        <v>10</v>
      </c>
      <c r="AL36" s="29">
        <f t="shared" ref="AL36:AM36" si="99">P36</f>
        <v>15</v>
      </c>
      <c r="AM36" s="29">
        <f t="shared" si="99"/>
        <v>6</v>
      </c>
      <c r="AN36" s="34">
        <f t="shared" si="22"/>
        <v>-9</v>
      </c>
      <c r="AO36" s="35">
        <f t="shared" si="23"/>
        <v>-0.6</v>
      </c>
      <c r="AP36" s="33">
        <f t="shared" si="24"/>
        <v>0.3735687647</v>
      </c>
      <c r="AQ36" s="36">
        <f t="shared" si="25"/>
        <v>24</v>
      </c>
      <c r="AR36" s="29">
        <v>128.0</v>
      </c>
      <c r="AS36" s="29">
        <v>242.0</v>
      </c>
      <c r="AT36" s="29">
        <f t="shared" si="26"/>
        <v>114</v>
      </c>
      <c r="AU36" s="35">
        <f t="shared" si="27"/>
        <v>0.890625</v>
      </c>
      <c r="AV36" s="33">
        <f t="shared" si="28"/>
        <v>15.06727351</v>
      </c>
      <c r="AW36" s="33">
        <f t="shared" si="46"/>
        <v>3.243264098</v>
      </c>
      <c r="AX36" s="36">
        <f t="shared" si="29"/>
        <v>11</v>
      </c>
      <c r="AY36" s="33">
        <v>638.0</v>
      </c>
      <c r="AZ36" s="33">
        <v>688.0</v>
      </c>
      <c r="BA36" s="29">
        <f t="shared" si="30"/>
        <v>50</v>
      </c>
      <c r="BB36" s="35">
        <f t="shared" si="31"/>
        <v>0.07836990596</v>
      </c>
      <c r="BC36" s="36">
        <f t="shared" si="32"/>
        <v>42.83588502</v>
      </c>
      <c r="BD36" s="33">
        <f t="shared" si="33"/>
        <v>3.402472321</v>
      </c>
      <c r="BE36" s="36">
        <f t="shared" si="34"/>
        <v>14</v>
      </c>
      <c r="BF36" s="29">
        <f t="shared" si="35"/>
        <v>13.85</v>
      </c>
      <c r="BH36" s="29">
        <f t="shared" si="47"/>
        <v>14</v>
      </c>
      <c r="BI36" s="1">
        <f t="shared" si="36"/>
        <v>12.5</v>
      </c>
      <c r="BJ36" s="1">
        <f t="shared" si="37"/>
        <v>3.322868209</v>
      </c>
      <c r="BK36" s="1">
        <f t="shared" si="38"/>
        <v>15</v>
      </c>
      <c r="BL36" s="3">
        <f t="shared" si="39"/>
        <v>7.097806529</v>
      </c>
      <c r="BM36" s="33">
        <f t="shared" si="40"/>
        <v>49</v>
      </c>
      <c r="BN36" s="3">
        <f t="shared" si="41"/>
        <v>3.113073039</v>
      </c>
      <c r="BO36" s="33">
        <f t="shared" si="42"/>
        <v>42</v>
      </c>
      <c r="BP36" s="1">
        <f t="shared" si="43"/>
        <v>45.5</v>
      </c>
    </row>
    <row r="37" ht="15.75" customHeight="1">
      <c r="C37" s="29"/>
      <c r="D37" s="30" t="s">
        <v>72</v>
      </c>
      <c r="E37" s="31"/>
      <c r="F37" s="31"/>
      <c r="G37" s="31"/>
      <c r="H37" s="31"/>
      <c r="I37" s="31"/>
      <c r="J37" s="27">
        <v>111398.0</v>
      </c>
      <c r="K37" s="33">
        <v>15.0</v>
      </c>
      <c r="L37" s="33">
        <v>9.0</v>
      </c>
      <c r="M37" s="34">
        <v>-6.0</v>
      </c>
      <c r="N37" s="35">
        <f t="shared" si="4"/>
        <v>-0.4</v>
      </c>
      <c r="O37" s="36">
        <f t="shared" si="5"/>
        <v>25</v>
      </c>
      <c r="P37" s="29">
        <v>6.0</v>
      </c>
      <c r="Q37" s="29">
        <v>0.0</v>
      </c>
      <c r="R37" s="34">
        <f t="shared" si="6"/>
        <v>-6</v>
      </c>
      <c r="S37" s="35">
        <f t="shared" si="7"/>
        <v>-1</v>
      </c>
      <c r="T37" s="36">
        <f t="shared" si="8"/>
        <v>38</v>
      </c>
      <c r="U37" s="29">
        <v>102.0</v>
      </c>
      <c r="V37" s="29">
        <v>101.0</v>
      </c>
      <c r="W37" s="29">
        <f t="shared" si="9"/>
        <v>-1</v>
      </c>
      <c r="X37" s="35">
        <f t="shared" si="10"/>
        <v>-0.009803921569</v>
      </c>
      <c r="Y37" s="36">
        <f t="shared" si="11"/>
        <v>32</v>
      </c>
      <c r="Z37" s="33">
        <v>494.0</v>
      </c>
      <c r="AA37" s="33">
        <v>274.0</v>
      </c>
      <c r="AB37" s="29">
        <f t="shared" si="12"/>
        <v>-220</v>
      </c>
      <c r="AC37" s="35">
        <f t="shared" si="13"/>
        <v>-0.4453441296</v>
      </c>
      <c r="AD37" s="36">
        <f t="shared" si="14"/>
        <v>32</v>
      </c>
      <c r="AE37" s="29">
        <f t="shared" si="15"/>
        <v>31.85</v>
      </c>
      <c r="AF37" s="33">
        <f t="shared" ref="AF37:AG37" si="100">K37</f>
        <v>15</v>
      </c>
      <c r="AG37" s="33">
        <f t="shared" si="100"/>
        <v>9</v>
      </c>
      <c r="AH37" s="34">
        <f t="shared" si="17"/>
        <v>-6</v>
      </c>
      <c r="AI37" s="35">
        <f t="shared" si="18"/>
        <v>-0.4</v>
      </c>
      <c r="AJ37" s="33">
        <f t="shared" si="19"/>
        <v>0.8079139661</v>
      </c>
      <c r="AK37" s="36">
        <f t="shared" si="20"/>
        <v>24</v>
      </c>
      <c r="AL37" s="29">
        <f t="shared" ref="AL37:AM37" si="101">P37</f>
        <v>6</v>
      </c>
      <c r="AM37" s="29">
        <f t="shared" si="101"/>
        <v>0</v>
      </c>
      <c r="AN37" s="34">
        <f t="shared" si="22"/>
        <v>-6</v>
      </c>
      <c r="AO37" s="35">
        <f t="shared" si="23"/>
        <v>-1</v>
      </c>
      <c r="AP37" s="33">
        <f t="shared" si="24"/>
        <v>0</v>
      </c>
      <c r="AQ37" s="36">
        <f t="shared" si="25"/>
        <v>38</v>
      </c>
      <c r="AR37" s="29">
        <v>102.0</v>
      </c>
      <c r="AS37" s="29">
        <v>101.0</v>
      </c>
      <c r="AT37" s="29">
        <f t="shared" si="26"/>
        <v>-1</v>
      </c>
      <c r="AU37" s="35">
        <f t="shared" si="27"/>
        <v>-0.009803921569</v>
      </c>
      <c r="AV37" s="33">
        <f t="shared" si="28"/>
        <v>9.066590064</v>
      </c>
      <c r="AW37" s="33">
        <f t="shared" si="46"/>
        <v>3.9429007</v>
      </c>
      <c r="AX37" s="36">
        <f t="shared" si="29"/>
        <v>26</v>
      </c>
      <c r="AY37" s="33">
        <v>494.0</v>
      </c>
      <c r="AZ37" s="33">
        <v>274.0</v>
      </c>
      <c r="BA37" s="29">
        <f t="shared" si="30"/>
        <v>-220</v>
      </c>
      <c r="BB37" s="35">
        <f t="shared" si="31"/>
        <v>-0.4453441296</v>
      </c>
      <c r="BC37" s="36">
        <f t="shared" si="32"/>
        <v>24.59649186</v>
      </c>
      <c r="BD37" s="33">
        <f t="shared" si="33"/>
        <v>4.082694882</v>
      </c>
      <c r="BE37" s="36">
        <f t="shared" si="34"/>
        <v>28</v>
      </c>
      <c r="BF37" s="29">
        <f t="shared" si="35"/>
        <v>28.2</v>
      </c>
      <c r="BH37" s="29">
        <f t="shared" si="47"/>
        <v>28.35</v>
      </c>
      <c r="BI37" s="1">
        <f t="shared" si="36"/>
        <v>27</v>
      </c>
      <c r="BJ37" s="1">
        <f t="shared" si="37"/>
        <v>4.012797791</v>
      </c>
      <c r="BK37" s="1">
        <f t="shared" si="38"/>
        <v>28</v>
      </c>
      <c r="BL37" s="3">
        <f t="shared" si="39"/>
        <v>-0.08976821846</v>
      </c>
      <c r="BM37" s="33">
        <f t="shared" si="40"/>
        <v>14</v>
      </c>
      <c r="BN37" s="3">
        <f t="shared" si="41"/>
        <v>-19.74900806</v>
      </c>
      <c r="BO37" s="33">
        <f t="shared" si="42"/>
        <v>10</v>
      </c>
      <c r="BP37" s="1">
        <f t="shared" si="43"/>
        <v>12</v>
      </c>
    </row>
    <row r="38" ht="15.75" customHeight="1">
      <c r="C38" s="29"/>
      <c r="D38" s="30" t="s">
        <v>73</v>
      </c>
      <c r="E38" s="31"/>
      <c r="F38" s="31"/>
      <c r="G38" s="31"/>
      <c r="H38" s="31"/>
      <c r="I38" s="31"/>
      <c r="J38" s="27">
        <v>214925.0</v>
      </c>
      <c r="K38" s="33">
        <v>9.0</v>
      </c>
      <c r="L38" s="33">
        <v>12.0</v>
      </c>
      <c r="M38" s="34">
        <v>3.0</v>
      </c>
      <c r="N38" s="35">
        <f t="shared" si="4"/>
        <v>0.3333333333</v>
      </c>
      <c r="O38" s="36">
        <f t="shared" si="5"/>
        <v>22</v>
      </c>
      <c r="P38" s="29">
        <v>12.0</v>
      </c>
      <c r="Q38" s="29">
        <v>1.0</v>
      </c>
      <c r="R38" s="34">
        <f t="shared" si="6"/>
        <v>-11</v>
      </c>
      <c r="S38" s="35">
        <f t="shared" si="7"/>
        <v>-0.9166666667</v>
      </c>
      <c r="T38" s="36">
        <f t="shared" si="8"/>
        <v>36</v>
      </c>
      <c r="U38" s="29">
        <v>142.0</v>
      </c>
      <c r="V38" s="29">
        <v>171.0</v>
      </c>
      <c r="W38" s="29">
        <f t="shared" si="9"/>
        <v>29</v>
      </c>
      <c r="X38" s="35">
        <f t="shared" si="10"/>
        <v>0.2042253521</v>
      </c>
      <c r="Y38" s="36">
        <f t="shared" si="11"/>
        <v>24</v>
      </c>
      <c r="Z38" s="33">
        <v>472.0</v>
      </c>
      <c r="AA38" s="33">
        <v>355.0</v>
      </c>
      <c r="AB38" s="29">
        <f t="shared" si="12"/>
        <v>-117</v>
      </c>
      <c r="AC38" s="35">
        <f t="shared" si="13"/>
        <v>-0.2478813559</v>
      </c>
      <c r="AD38" s="36">
        <f t="shared" si="14"/>
        <v>29</v>
      </c>
      <c r="AE38" s="29">
        <f t="shared" si="15"/>
        <v>27.25</v>
      </c>
      <c r="AF38" s="33">
        <f t="shared" ref="AF38:AG38" si="102">K38</f>
        <v>9</v>
      </c>
      <c r="AG38" s="33">
        <f t="shared" si="102"/>
        <v>12</v>
      </c>
      <c r="AH38" s="34">
        <f t="shared" si="17"/>
        <v>3</v>
      </c>
      <c r="AI38" s="35">
        <f t="shared" si="18"/>
        <v>0.3333333333</v>
      </c>
      <c r="AJ38" s="33">
        <f t="shared" si="19"/>
        <v>0.5583343027</v>
      </c>
      <c r="AK38" s="36">
        <f t="shared" si="20"/>
        <v>31</v>
      </c>
      <c r="AL38" s="29">
        <f t="shared" ref="AL38:AM38" si="103">P38</f>
        <v>12</v>
      </c>
      <c r="AM38" s="29">
        <f t="shared" si="103"/>
        <v>1</v>
      </c>
      <c r="AN38" s="34">
        <f t="shared" si="22"/>
        <v>-11</v>
      </c>
      <c r="AO38" s="35">
        <f t="shared" si="23"/>
        <v>-0.9166666667</v>
      </c>
      <c r="AP38" s="33">
        <f t="shared" si="24"/>
        <v>0.04652785856</v>
      </c>
      <c r="AQ38" s="36">
        <f t="shared" si="25"/>
        <v>37</v>
      </c>
      <c r="AR38" s="29">
        <v>142.0</v>
      </c>
      <c r="AS38" s="29">
        <v>171.0</v>
      </c>
      <c r="AT38" s="29">
        <f t="shared" si="26"/>
        <v>29</v>
      </c>
      <c r="AU38" s="35">
        <f t="shared" si="27"/>
        <v>0.2042253521</v>
      </c>
      <c r="AV38" s="33">
        <f t="shared" si="28"/>
        <v>7.956263813</v>
      </c>
      <c r="AW38" s="33">
        <f t="shared" si="46"/>
        <v>4.072356768</v>
      </c>
      <c r="AX38" s="36">
        <f t="shared" si="29"/>
        <v>33</v>
      </c>
      <c r="AY38" s="33">
        <v>472.0</v>
      </c>
      <c r="AZ38" s="33">
        <v>355.0</v>
      </c>
      <c r="BA38" s="29">
        <f t="shared" si="30"/>
        <v>-117</v>
      </c>
      <c r="BB38" s="35">
        <f t="shared" si="31"/>
        <v>-0.2478813559</v>
      </c>
      <c r="BC38" s="36">
        <f t="shared" si="32"/>
        <v>16.51738979</v>
      </c>
      <c r="BD38" s="33">
        <f t="shared" si="33"/>
        <v>4.383998081</v>
      </c>
      <c r="BE38" s="36">
        <f t="shared" si="34"/>
        <v>40</v>
      </c>
      <c r="BF38" s="29">
        <f t="shared" si="35"/>
        <v>35.75</v>
      </c>
      <c r="BH38" s="29">
        <f t="shared" si="47"/>
        <v>34.25</v>
      </c>
      <c r="BI38" s="1">
        <f t="shared" si="36"/>
        <v>36.5</v>
      </c>
      <c r="BJ38" s="1">
        <f t="shared" si="37"/>
        <v>4.228177425</v>
      </c>
      <c r="BK38" s="1">
        <f t="shared" si="38"/>
        <v>40</v>
      </c>
      <c r="BL38" s="3">
        <f t="shared" si="39"/>
        <v>1.349307898</v>
      </c>
      <c r="BM38" s="33">
        <f t="shared" si="40"/>
        <v>22</v>
      </c>
      <c r="BN38" s="3">
        <f t="shared" si="41"/>
        <v>-5.443759451</v>
      </c>
      <c r="BO38" s="33">
        <f t="shared" si="42"/>
        <v>17</v>
      </c>
      <c r="BP38" s="1">
        <f t="shared" si="43"/>
        <v>19.5</v>
      </c>
    </row>
    <row r="39" ht="15.75" customHeight="1">
      <c r="C39" s="29"/>
      <c r="D39" s="30" t="s">
        <v>74</v>
      </c>
      <c r="E39" s="31"/>
      <c r="F39" s="31"/>
      <c r="G39" s="31"/>
      <c r="H39" s="31"/>
      <c r="I39" s="31"/>
      <c r="J39" s="27">
        <v>70669.0</v>
      </c>
      <c r="K39" s="33">
        <v>0.0</v>
      </c>
      <c r="L39" s="33">
        <v>0.0</v>
      </c>
      <c r="M39" s="34">
        <v>0.0</v>
      </c>
      <c r="N39" s="35" t="str">
        <f t="shared" si="4"/>
        <v>-</v>
      </c>
      <c r="O39" s="36">
        <f t="shared" si="5"/>
        <v>47</v>
      </c>
      <c r="P39" s="29">
        <v>0.0</v>
      </c>
      <c r="Q39" s="29">
        <v>2.0</v>
      </c>
      <c r="R39" s="34">
        <f t="shared" si="6"/>
        <v>2</v>
      </c>
      <c r="S39" s="35" t="str">
        <f t="shared" si="7"/>
        <v>-</v>
      </c>
      <c r="T39" s="36">
        <f t="shared" si="8"/>
        <v>31</v>
      </c>
      <c r="U39" s="29">
        <v>19.0</v>
      </c>
      <c r="V39" s="29">
        <v>55.0</v>
      </c>
      <c r="W39" s="29">
        <f t="shared" si="9"/>
        <v>36</v>
      </c>
      <c r="X39" s="35">
        <f t="shared" si="10"/>
        <v>1.894736842</v>
      </c>
      <c r="Y39" s="36">
        <f t="shared" si="11"/>
        <v>39</v>
      </c>
      <c r="Z39" s="33">
        <v>174.0</v>
      </c>
      <c r="AA39" s="33">
        <v>145.0</v>
      </c>
      <c r="AB39" s="29">
        <f t="shared" si="12"/>
        <v>-29</v>
      </c>
      <c r="AC39" s="35">
        <f t="shared" si="13"/>
        <v>-0.1666666667</v>
      </c>
      <c r="AD39" s="36">
        <f t="shared" si="14"/>
        <v>41</v>
      </c>
      <c r="AE39" s="29">
        <f t="shared" si="15"/>
        <v>39.7</v>
      </c>
      <c r="AF39" s="33">
        <f t="shared" ref="AF39:AG39" si="104">K39</f>
        <v>0</v>
      </c>
      <c r="AG39" s="33">
        <f t="shared" si="104"/>
        <v>0</v>
      </c>
      <c r="AH39" s="34">
        <f t="shared" si="17"/>
        <v>0</v>
      </c>
      <c r="AI39" s="35" t="str">
        <f t="shared" si="18"/>
        <v>-</v>
      </c>
      <c r="AJ39" s="33">
        <f t="shared" si="19"/>
        <v>0</v>
      </c>
      <c r="AK39" s="36">
        <f t="shared" si="20"/>
        <v>47</v>
      </c>
      <c r="AL39" s="29">
        <f t="shared" ref="AL39:AM39" si="105">P39</f>
        <v>0</v>
      </c>
      <c r="AM39" s="29">
        <f t="shared" si="105"/>
        <v>2</v>
      </c>
      <c r="AN39" s="34">
        <f t="shared" si="22"/>
        <v>2</v>
      </c>
      <c r="AO39" s="35" t="str">
        <f t="shared" si="23"/>
        <v>-</v>
      </c>
      <c r="AP39" s="33">
        <f t="shared" si="24"/>
        <v>0.2830095233</v>
      </c>
      <c r="AQ39" s="36">
        <f t="shared" si="25"/>
        <v>29</v>
      </c>
      <c r="AR39" s="29">
        <v>19.0</v>
      </c>
      <c r="AS39" s="29">
        <v>55.0</v>
      </c>
      <c r="AT39" s="29">
        <f t="shared" si="26"/>
        <v>36</v>
      </c>
      <c r="AU39" s="35">
        <f t="shared" si="27"/>
        <v>1.894736842</v>
      </c>
      <c r="AV39" s="33">
        <f t="shared" si="28"/>
        <v>7.78276189</v>
      </c>
      <c r="AW39" s="33">
        <f t="shared" si="46"/>
        <v>4.092585847</v>
      </c>
      <c r="AX39" s="36">
        <f t="shared" si="29"/>
        <v>34</v>
      </c>
      <c r="AY39" s="33">
        <v>174.0</v>
      </c>
      <c r="AZ39" s="33">
        <v>145.0</v>
      </c>
      <c r="BA39" s="29">
        <f t="shared" si="30"/>
        <v>-29</v>
      </c>
      <c r="BB39" s="35">
        <f t="shared" si="31"/>
        <v>-0.1666666667</v>
      </c>
      <c r="BC39" s="36">
        <f t="shared" si="32"/>
        <v>20.51819044</v>
      </c>
      <c r="BD39" s="33">
        <f t="shared" si="33"/>
        <v>4.234791644</v>
      </c>
      <c r="BE39" s="36">
        <f t="shared" si="34"/>
        <v>36</v>
      </c>
      <c r="BF39" s="29">
        <f t="shared" si="35"/>
        <v>35.9</v>
      </c>
      <c r="BH39" s="29">
        <f t="shared" si="47"/>
        <v>36.2</v>
      </c>
      <c r="BI39" s="1">
        <f t="shared" si="36"/>
        <v>35</v>
      </c>
      <c r="BJ39" s="1">
        <f t="shared" si="37"/>
        <v>4.163688745</v>
      </c>
      <c r="BK39" s="1">
        <f t="shared" si="38"/>
        <v>38</v>
      </c>
      <c r="BL39" s="3">
        <f t="shared" si="39"/>
        <v>5.094171419</v>
      </c>
      <c r="BM39" s="33">
        <f t="shared" si="40"/>
        <v>42</v>
      </c>
      <c r="BN39" s="3">
        <f t="shared" si="41"/>
        <v>-4.103638087</v>
      </c>
      <c r="BO39" s="33">
        <f t="shared" si="42"/>
        <v>19</v>
      </c>
      <c r="BP39" s="1">
        <f t="shared" si="43"/>
        <v>30.5</v>
      </c>
    </row>
    <row r="40" ht="15.75" customHeight="1">
      <c r="C40" s="29"/>
      <c r="D40" s="30" t="s">
        <v>75</v>
      </c>
      <c r="E40" s="31"/>
      <c r="F40" s="31"/>
      <c r="G40" s="31"/>
      <c r="H40" s="31"/>
      <c r="I40" s="31"/>
      <c r="J40" s="27">
        <v>60722.0</v>
      </c>
      <c r="K40" s="33">
        <v>4.0</v>
      </c>
      <c r="L40" s="33">
        <v>7.0</v>
      </c>
      <c r="M40" s="34">
        <v>3.0</v>
      </c>
      <c r="N40" s="35">
        <f t="shared" si="4"/>
        <v>0.75</v>
      </c>
      <c r="O40" s="36">
        <f t="shared" si="5"/>
        <v>27</v>
      </c>
      <c r="P40" s="29">
        <v>3.0</v>
      </c>
      <c r="Q40" s="29">
        <v>2.0</v>
      </c>
      <c r="R40" s="34">
        <f t="shared" si="6"/>
        <v>-1</v>
      </c>
      <c r="S40" s="35">
        <f t="shared" si="7"/>
        <v>-0.3333333333</v>
      </c>
      <c r="T40" s="36">
        <f t="shared" si="8"/>
        <v>31</v>
      </c>
      <c r="U40" s="29">
        <v>83.0</v>
      </c>
      <c r="V40" s="29">
        <v>116.0</v>
      </c>
      <c r="W40" s="29">
        <f t="shared" si="9"/>
        <v>33</v>
      </c>
      <c r="X40" s="35">
        <f t="shared" si="10"/>
        <v>0.3975903614</v>
      </c>
      <c r="Y40" s="36">
        <f t="shared" si="11"/>
        <v>29</v>
      </c>
      <c r="Z40" s="33">
        <v>270.0</v>
      </c>
      <c r="AA40" s="33">
        <v>194.0</v>
      </c>
      <c r="AB40" s="29">
        <f t="shared" si="12"/>
        <v>-76</v>
      </c>
      <c r="AC40" s="35">
        <f t="shared" si="13"/>
        <v>-0.2814814815</v>
      </c>
      <c r="AD40" s="36">
        <f t="shared" si="14"/>
        <v>38</v>
      </c>
      <c r="AE40" s="29">
        <f t="shared" si="15"/>
        <v>32.15</v>
      </c>
      <c r="AF40" s="33">
        <f t="shared" ref="AF40:AG40" si="106">K40</f>
        <v>4</v>
      </c>
      <c r="AG40" s="33">
        <f t="shared" si="106"/>
        <v>7</v>
      </c>
      <c r="AH40" s="34">
        <f t="shared" si="17"/>
        <v>3</v>
      </c>
      <c r="AI40" s="35">
        <f t="shared" si="18"/>
        <v>0.75</v>
      </c>
      <c r="AJ40" s="33">
        <f t="shared" si="19"/>
        <v>1.152794704</v>
      </c>
      <c r="AK40" s="36">
        <f t="shared" si="20"/>
        <v>15</v>
      </c>
      <c r="AL40" s="29">
        <f t="shared" ref="AL40:AM40" si="107">P40</f>
        <v>3</v>
      </c>
      <c r="AM40" s="29">
        <f t="shared" si="107"/>
        <v>2</v>
      </c>
      <c r="AN40" s="34">
        <f t="shared" si="22"/>
        <v>-1</v>
      </c>
      <c r="AO40" s="35">
        <f t="shared" si="23"/>
        <v>-0.3333333333</v>
      </c>
      <c r="AP40" s="33">
        <f t="shared" si="24"/>
        <v>0.3293699154</v>
      </c>
      <c r="AQ40" s="36">
        <f t="shared" si="25"/>
        <v>28</v>
      </c>
      <c r="AR40" s="29">
        <v>83.0</v>
      </c>
      <c r="AS40" s="29">
        <v>116.0</v>
      </c>
      <c r="AT40" s="29">
        <f t="shared" si="26"/>
        <v>33</v>
      </c>
      <c r="AU40" s="35">
        <f t="shared" si="27"/>
        <v>0.3975903614</v>
      </c>
      <c r="AV40" s="33">
        <f t="shared" si="28"/>
        <v>19.10345509</v>
      </c>
      <c r="AW40" s="33">
        <f t="shared" si="46"/>
        <v>2.772674307</v>
      </c>
      <c r="AX40" s="36">
        <f t="shared" si="29"/>
        <v>8</v>
      </c>
      <c r="AY40" s="33">
        <v>270.0</v>
      </c>
      <c r="AZ40" s="33">
        <v>194.0</v>
      </c>
      <c r="BA40" s="29">
        <f t="shared" si="30"/>
        <v>-76</v>
      </c>
      <c r="BB40" s="35">
        <f t="shared" si="31"/>
        <v>-0.2814814815</v>
      </c>
      <c r="BC40" s="36">
        <f t="shared" si="32"/>
        <v>31.94888179</v>
      </c>
      <c r="BD40" s="33">
        <f t="shared" si="33"/>
        <v>3.808493791</v>
      </c>
      <c r="BE40" s="36">
        <f t="shared" si="34"/>
        <v>24</v>
      </c>
      <c r="BF40" s="29">
        <f t="shared" si="35"/>
        <v>17.65</v>
      </c>
      <c r="BH40" s="29">
        <f t="shared" si="47"/>
        <v>19.9</v>
      </c>
      <c r="BI40" s="1">
        <f t="shared" si="36"/>
        <v>16</v>
      </c>
      <c r="BJ40" s="1">
        <f t="shared" si="37"/>
        <v>3.290584049</v>
      </c>
      <c r="BK40" s="1">
        <f t="shared" si="38"/>
        <v>14</v>
      </c>
      <c r="BL40" s="3">
        <f t="shared" si="39"/>
        <v>5.434603603</v>
      </c>
      <c r="BM40" s="33">
        <f t="shared" si="40"/>
        <v>45</v>
      </c>
      <c r="BN40" s="3">
        <f t="shared" si="41"/>
        <v>-12.51605678</v>
      </c>
      <c r="BO40" s="33">
        <f t="shared" si="42"/>
        <v>12</v>
      </c>
      <c r="BP40" s="1">
        <f t="shared" si="43"/>
        <v>28.5</v>
      </c>
    </row>
    <row r="41" ht="15.75" customHeight="1">
      <c r="C41" s="29"/>
      <c r="D41" s="30" t="s">
        <v>76</v>
      </c>
      <c r="E41" s="31"/>
      <c r="F41" s="31"/>
      <c r="G41" s="31"/>
      <c r="H41" s="31"/>
      <c r="I41" s="31"/>
      <c r="J41" s="37">
        <v>92519.0</v>
      </c>
      <c r="K41" s="33">
        <v>17.0</v>
      </c>
      <c r="L41" s="33">
        <v>13.0</v>
      </c>
      <c r="M41" s="34">
        <v>-4.0</v>
      </c>
      <c r="N41" s="35">
        <f t="shared" si="4"/>
        <v>-0.2352941176</v>
      </c>
      <c r="O41" s="36">
        <f t="shared" si="5"/>
        <v>21</v>
      </c>
      <c r="P41" s="29">
        <v>1.0</v>
      </c>
      <c r="Q41" s="29">
        <v>2.0</v>
      </c>
      <c r="R41" s="34">
        <f t="shared" si="6"/>
        <v>1</v>
      </c>
      <c r="S41" s="35">
        <f t="shared" si="7"/>
        <v>1</v>
      </c>
      <c r="T41" s="36">
        <f t="shared" si="8"/>
        <v>31</v>
      </c>
      <c r="U41" s="29">
        <v>42.0</v>
      </c>
      <c r="V41" s="29">
        <v>81.0</v>
      </c>
      <c r="W41" s="29">
        <f t="shared" si="9"/>
        <v>39</v>
      </c>
      <c r="X41" s="35">
        <f t="shared" si="10"/>
        <v>0.9285714286</v>
      </c>
      <c r="Y41" s="36">
        <f t="shared" si="11"/>
        <v>34</v>
      </c>
      <c r="Z41" s="33">
        <v>245.0</v>
      </c>
      <c r="AA41" s="33">
        <v>208.0</v>
      </c>
      <c r="AB41" s="29">
        <f t="shared" si="12"/>
        <v>-37</v>
      </c>
      <c r="AC41" s="35">
        <f t="shared" si="13"/>
        <v>-0.1510204082</v>
      </c>
      <c r="AD41" s="36">
        <f t="shared" si="14"/>
        <v>37</v>
      </c>
      <c r="AE41" s="29">
        <f t="shared" si="15"/>
        <v>32.65</v>
      </c>
      <c r="AF41" s="33">
        <f t="shared" ref="AF41:AG41" si="108">K41</f>
        <v>17</v>
      </c>
      <c r="AG41" s="33">
        <f t="shared" si="108"/>
        <v>13</v>
      </c>
      <c r="AH41" s="34">
        <f t="shared" si="17"/>
        <v>-4</v>
      </c>
      <c r="AI41" s="35">
        <f t="shared" si="18"/>
        <v>-0.2352941176</v>
      </c>
      <c r="AJ41" s="33">
        <f t="shared" si="19"/>
        <v>1.405116787</v>
      </c>
      <c r="AK41" s="36">
        <f t="shared" si="20"/>
        <v>13</v>
      </c>
      <c r="AL41" s="29">
        <f t="shared" ref="AL41:AM41" si="109">P41</f>
        <v>1</v>
      </c>
      <c r="AM41" s="29">
        <f t="shared" si="109"/>
        <v>2</v>
      </c>
      <c r="AN41" s="34">
        <f t="shared" si="22"/>
        <v>1</v>
      </c>
      <c r="AO41" s="35">
        <f t="shared" si="23"/>
        <v>1</v>
      </c>
      <c r="AP41" s="33">
        <f t="shared" si="24"/>
        <v>0.2161718134</v>
      </c>
      <c r="AQ41" s="36">
        <f t="shared" si="25"/>
        <v>31</v>
      </c>
      <c r="AR41" s="29">
        <v>42.0</v>
      </c>
      <c r="AS41" s="29">
        <v>81.0</v>
      </c>
      <c r="AT41" s="29">
        <f t="shared" si="26"/>
        <v>39</v>
      </c>
      <c r="AU41" s="35">
        <f t="shared" si="27"/>
        <v>0.9285714286</v>
      </c>
      <c r="AV41" s="33">
        <f t="shared" si="28"/>
        <v>8.754958441</v>
      </c>
      <c r="AW41" s="33">
        <f t="shared" si="46"/>
        <v>3.97923471</v>
      </c>
      <c r="AX41" s="36">
        <f t="shared" si="29"/>
        <v>29</v>
      </c>
      <c r="AY41" s="33">
        <v>245.0</v>
      </c>
      <c r="AZ41" s="33">
        <v>208.0</v>
      </c>
      <c r="BA41" s="29">
        <f t="shared" si="30"/>
        <v>-37</v>
      </c>
      <c r="BB41" s="35">
        <f t="shared" si="31"/>
        <v>-0.1510204082</v>
      </c>
      <c r="BC41" s="36">
        <f t="shared" si="32"/>
        <v>22.48186859</v>
      </c>
      <c r="BD41" s="33">
        <f t="shared" si="33"/>
        <v>4.161557948</v>
      </c>
      <c r="BE41" s="36">
        <f t="shared" si="34"/>
        <v>34</v>
      </c>
      <c r="BF41" s="29">
        <f t="shared" si="35"/>
        <v>28.65</v>
      </c>
      <c r="BH41" s="29">
        <f t="shared" si="47"/>
        <v>29.85</v>
      </c>
      <c r="BI41" s="1">
        <f t="shared" si="36"/>
        <v>31.5</v>
      </c>
      <c r="BJ41" s="1">
        <f t="shared" si="37"/>
        <v>4.070396329</v>
      </c>
      <c r="BK41" s="1">
        <f t="shared" si="38"/>
        <v>31</v>
      </c>
      <c r="BL41" s="3">
        <f t="shared" si="39"/>
        <v>4.21535036</v>
      </c>
      <c r="BM41" s="33">
        <f t="shared" si="40"/>
        <v>38</v>
      </c>
      <c r="BN41" s="3">
        <f t="shared" si="41"/>
        <v>-3.999178547</v>
      </c>
      <c r="BO41" s="33">
        <f t="shared" si="42"/>
        <v>20</v>
      </c>
      <c r="BP41" s="1">
        <f t="shared" si="43"/>
        <v>29</v>
      </c>
    </row>
    <row r="42" ht="15.75" customHeight="1">
      <c r="C42" s="29"/>
      <c r="D42" s="30" t="s">
        <v>77</v>
      </c>
      <c r="E42" s="31"/>
      <c r="F42" s="31"/>
      <c r="G42" s="31"/>
      <c r="H42" s="31"/>
      <c r="I42" s="31"/>
      <c r="J42" s="27">
        <v>299964.0</v>
      </c>
      <c r="K42" s="33">
        <v>20.0</v>
      </c>
      <c r="L42" s="33">
        <v>23.0</v>
      </c>
      <c r="M42" s="34">
        <v>3.0</v>
      </c>
      <c r="N42" s="35">
        <f t="shared" si="4"/>
        <v>0.15</v>
      </c>
      <c r="O42" s="36">
        <f t="shared" si="5"/>
        <v>14</v>
      </c>
      <c r="P42" s="29">
        <v>12.0</v>
      </c>
      <c r="Q42" s="29">
        <v>26.0</v>
      </c>
      <c r="R42" s="34">
        <f t="shared" si="6"/>
        <v>14</v>
      </c>
      <c r="S42" s="35">
        <f t="shared" si="7"/>
        <v>1.166666667</v>
      </c>
      <c r="T42" s="36">
        <f t="shared" si="8"/>
        <v>7</v>
      </c>
      <c r="U42" s="29">
        <v>226.0</v>
      </c>
      <c r="V42" s="29">
        <v>252.0</v>
      </c>
      <c r="W42" s="29">
        <f t="shared" si="9"/>
        <v>26</v>
      </c>
      <c r="X42" s="35">
        <f t="shared" si="10"/>
        <v>0.1150442478</v>
      </c>
      <c r="Y42" s="36">
        <f t="shared" si="11"/>
        <v>15</v>
      </c>
      <c r="Z42" s="33">
        <v>858.0</v>
      </c>
      <c r="AA42" s="33">
        <v>687.0</v>
      </c>
      <c r="AB42" s="29">
        <f t="shared" si="12"/>
        <v>-171</v>
      </c>
      <c r="AC42" s="35">
        <f t="shared" si="13"/>
        <v>-0.1993006993</v>
      </c>
      <c r="AD42" s="36">
        <f t="shared" si="14"/>
        <v>17</v>
      </c>
      <c r="AE42" s="29">
        <f t="shared" si="15"/>
        <v>14.35</v>
      </c>
      <c r="AF42" s="33">
        <f t="shared" ref="AF42:AG42" si="110">K42</f>
        <v>20</v>
      </c>
      <c r="AG42" s="33">
        <f t="shared" si="110"/>
        <v>23</v>
      </c>
      <c r="AH42" s="34">
        <f t="shared" si="17"/>
        <v>3</v>
      </c>
      <c r="AI42" s="35">
        <f t="shared" si="18"/>
        <v>0.15</v>
      </c>
      <c r="AJ42" s="33">
        <f t="shared" si="19"/>
        <v>0.7667586777</v>
      </c>
      <c r="AK42" s="36">
        <f t="shared" si="20"/>
        <v>25</v>
      </c>
      <c r="AL42" s="29">
        <f t="shared" ref="AL42:AM42" si="111">P42</f>
        <v>12</v>
      </c>
      <c r="AM42" s="29">
        <f t="shared" si="111"/>
        <v>26</v>
      </c>
      <c r="AN42" s="34">
        <f t="shared" si="22"/>
        <v>14</v>
      </c>
      <c r="AO42" s="35">
        <f t="shared" si="23"/>
        <v>1.166666667</v>
      </c>
      <c r="AP42" s="33">
        <f t="shared" si="24"/>
        <v>0.8667706791</v>
      </c>
      <c r="AQ42" s="36">
        <f t="shared" si="25"/>
        <v>15</v>
      </c>
      <c r="AR42" s="29">
        <v>226.0</v>
      </c>
      <c r="AS42" s="29">
        <v>252.0</v>
      </c>
      <c r="AT42" s="29">
        <f t="shared" si="26"/>
        <v>26</v>
      </c>
      <c r="AU42" s="35">
        <f t="shared" si="27"/>
        <v>0.1150442478</v>
      </c>
      <c r="AV42" s="33">
        <f t="shared" si="28"/>
        <v>8.401008121</v>
      </c>
      <c r="AW42" s="33">
        <f t="shared" si="46"/>
        <v>4.020502776</v>
      </c>
      <c r="AX42" s="36">
        <f t="shared" si="29"/>
        <v>32</v>
      </c>
      <c r="AY42" s="33">
        <v>858.0</v>
      </c>
      <c r="AZ42" s="33">
        <v>687.0</v>
      </c>
      <c r="BA42" s="29">
        <f t="shared" si="30"/>
        <v>-171</v>
      </c>
      <c r="BB42" s="35">
        <f t="shared" si="31"/>
        <v>-0.1993006993</v>
      </c>
      <c r="BC42" s="36">
        <f t="shared" si="32"/>
        <v>22.90274833</v>
      </c>
      <c r="BD42" s="33">
        <f t="shared" si="33"/>
        <v>4.145861598</v>
      </c>
      <c r="BE42" s="36">
        <f t="shared" si="34"/>
        <v>32</v>
      </c>
      <c r="BF42" s="29">
        <f t="shared" si="35"/>
        <v>28.4</v>
      </c>
      <c r="BH42" s="29">
        <f t="shared" si="47"/>
        <v>25.55</v>
      </c>
      <c r="BI42" s="1">
        <f t="shared" si="36"/>
        <v>32</v>
      </c>
      <c r="BJ42" s="1">
        <f t="shared" si="37"/>
        <v>4.083182187</v>
      </c>
      <c r="BK42" s="1">
        <f t="shared" si="38"/>
        <v>32</v>
      </c>
      <c r="BL42" s="3">
        <f t="shared" si="39"/>
        <v>0.8667706791</v>
      </c>
      <c r="BM42" s="33">
        <f t="shared" si="40"/>
        <v>19</v>
      </c>
      <c r="BN42" s="3">
        <f t="shared" si="41"/>
        <v>-5.700684082</v>
      </c>
      <c r="BO42" s="33">
        <f t="shared" si="42"/>
        <v>16</v>
      </c>
      <c r="BP42" s="1">
        <f t="shared" si="43"/>
        <v>17.5</v>
      </c>
    </row>
    <row r="43" ht="15.75" customHeight="1">
      <c r="C43" s="29"/>
      <c r="D43" s="30" t="s">
        <v>78</v>
      </c>
      <c r="E43" s="31"/>
      <c r="F43" s="31"/>
      <c r="G43" s="31"/>
      <c r="H43" s="31"/>
      <c r="I43" s="31"/>
      <c r="J43" s="37">
        <v>194589.0</v>
      </c>
      <c r="K43" s="33">
        <v>28.0</v>
      </c>
      <c r="L43" s="33">
        <v>29.0</v>
      </c>
      <c r="M43" s="34">
        <v>1.0</v>
      </c>
      <c r="N43" s="35">
        <f t="shared" si="4"/>
        <v>0.03571428571</v>
      </c>
      <c r="O43" s="36">
        <f t="shared" si="5"/>
        <v>8</v>
      </c>
      <c r="P43" s="29">
        <v>9.0</v>
      </c>
      <c r="Q43" s="29">
        <v>16.0</v>
      </c>
      <c r="R43" s="34">
        <f t="shared" si="6"/>
        <v>7</v>
      </c>
      <c r="S43" s="35">
        <f t="shared" si="7"/>
        <v>0.7777777778</v>
      </c>
      <c r="T43" s="36">
        <f t="shared" si="8"/>
        <v>14</v>
      </c>
      <c r="U43" s="29">
        <v>347.0</v>
      </c>
      <c r="V43" s="29">
        <v>424.0</v>
      </c>
      <c r="W43" s="29">
        <f t="shared" si="9"/>
        <v>77</v>
      </c>
      <c r="X43" s="35">
        <f t="shared" si="10"/>
        <v>0.2219020173</v>
      </c>
      <c r="Y43" s="36">
        <f t="shared" si="11"/>
        <v>6</v>
      </c>
      <c r="Z43" s="33">
        <v>946.0</v>
      </c>
      <c r="AA43" s="33">
        <v>1098.0</v>
      </c>
      <c r="AB43" s="29">
        <f t="shared" si="12"/>
        <v>152</v>
      </c>
      <c r="AC43" s="35">
        <f t="shared" si="13"/>
        <v>0.1606765328</v>
      </c>
      <c r="AD43" s="36">
        <f t="shared" si="14"/>
        <v>10</v>
      </c>
      <c r="AE43" s="29">
        <f t="shared" si="15"/>
        <v>8.9</v>
      </c>
      <c r="AF43" s="33">
        <f t="shared" ref="AF43:AG43" si="112">K43</f>
        <v>28</v>
      </c>
      <c r="AG43" s="33">
        <f t="shared" si="112"/>
        <v>29</v>
      </c>
      <c r="AH43" s="34">
        <f t="shared" si="17"/>
        <v>1</v>
      </c>
      <c r="AI43" s="35">
        <f t="shared" si="18"/>
        <v>0.03571428571</v>
      </c>
      <c r="AJ43" s="33">
        <f t="shared" si="19"/>
        <v>1.490320624</v>
      </c>
      <c r="AK43" s="36">
        <f t="shared" si="20"/>
        <v>12</v>
      </c>
      <c r="AL43" s="29">
        <f t="shared" ref="AL43:AM43" si="113">P43</f>
        <v>9</v>
      </c>
      <c r="AM43" s="29">
        <f t="shared" si="113"/>
        <v>16</v>
      </c>
      <c r="AN43" s="34">
        <f t="shared" si="22"/>
        <v>7</v>
      </c>
      <c r="AO43" s="35">
        <f t="shared" si="23"/>
        <v>0.7777777778</v>
      </c>
      <c r="AP43" s="33">
        <f t="shared" si="24"/>
        <v>0.8222458618</v>
      </c>
      <c r="AQ43" s="36">
        <f t="shared" si="25"/>
        <v>16</v>
      </c>
      <c r="AR43" s="29">
        <v>347.0</v>
      </c>
      <c r="AS43" s="29">
        <v>424.0</v>
      </c>
      <c r="AT43" s="29">
        <f t="shared" si="26"/>
        <v>77</v>
      </c>
      <c r="AU43" s="35">
        <f t="shared" si="27"/>
        <v>0.2219020173</v>
      </c>
      <c r="AV43" s="33">
        <f t="shared" si="28"/>
        <v>21.78951534</v>
      </c>
      <c r="AW43" s="33">
        <f t="shared" si="46"/>
        <v>2.459498969</v>
      </c>
      <c r="AX43" s="36">
        <f t="shared" si="29"/>
        <v>5</v>
      </c>
      <c r="AY43" s="33">
        <v>946.0</v>
      </c>
      <c r="AZ43" s="33">
        <v>1098.0</v>
      </c>
      <c r="BA43" s="29">
        <f t="shared" si="30"/>
        <v>152</v>
      </c>
      <c r="BB43" s="35">
        <f t="shared" si="31"/>
        <v>0.1606765328</v>
      </c>
      <c r="BC43" s="36">
        <f t="shared" si="32"/>
        <v>56.42662227</v>
      </c>
      <c r="BD43" s="33">
        <f t="shared" si="33"/>
        <v>2.895617404</v>
      </c>
      <c r="BE43" s="36">
        <f t="shared" si="34"/>
        <v>11</v>
      </c>
      <c r="BF43" s="29">
        <f t="shared" si="35"/>
        <v>9.8</v>
      </c>
      <c r="BH43" s="29">
        <f t="shared" si="47"/>
        <v>8.9</v>
      </c>
      <c r="BI43" s="1">
        <f t="shared" si="36"/>
        <v>8</v>
      </c>
      <c r="BJ43" s="1">
        <f t="shared" si="37"/>
        <v>2.677558186</v>
      </c>
      <c r="BK43" s="1">
        <f t="shared" si="38"/>
        <v>9</v>
      </c>
      <c r="BL43" s="3">
        <f t="shared" si="39"/>
        <v>3.95705821</v>
      </c>
      <c r="BM43" s="33">
        <f t="shared" si="40"/>
        <v>37</v>
      </c>
      <c r="BN43" s="3">
        <f t="shared" si="41"/>
        <v>7.811335687</v>
      </c>
      <c r="BO43" s="33">
        <f t="shared" si="42"/>
        <v>46</v>
      </c>
      <c r="BP43" s="1">
        <f t="shared" si="43"/>
        <v>41.5</v>
      </c>
    </row>
    <row r="44" ht="15.75" customHeight="1">
      <c r="C44" s="29"/>
      <c r="D44" s="30" t="s">
        <v>79</v>
      </c>
      <c r="E44" s="31"/>
      <c r="F44" s="31"/>
      <c r="G44" s="31"/>
      <c r="H44" s="31"/>
      <c r="I44" s="31"/>
      <c r="J44" s="37">
        <v>300650.0</v>
      </c>
      <c r="K44" s="33">
        <v>25.0</v>
      </c>
      <c r="L44" s="33">
        <v>29.0</v>
      </c>
      <c r="M44" s="34">
        <v>4.0</v>
      </c>
      <c r="N44" s="35">
        <f t="shared" si="4"/>
        <v>0.16</v>
      </c>
      <c r="O44" s="36">
        <f t="shared" si="5"/>
        <v>8</v>
      </c>
      <c r="P44" s="29">
        <v>57.0</v>
      </c>
      <c r="Q44" s="29">
        <v>4.0</v>
      </c>
      <c r="R44" s="34">
        <f t="shared" si="6"/>
        <v>-53</v>
      </c>
      <c r="S44" s="35">
        <f t="shared" si="7"/>
        <v>-0.9298245614</v>
      </c>
      <c r="T44" s="36">
        <f t="shared" si="8"/>
        <v>28</v>
      </c>
      <c r="U44" s="29">
        <v>318.0</v>
      </c>
      <c r="V44" s="29">
        <v>358.0</v>
      </c>
      <c r="W44" s="29">
        <f t="shared" si="9"/>
        <v>40</v>
      </c>
      <c r="X44" s="35">
        <f t="shared" si="10"/>
        <v>0.1257861635</v>
      </c>
      <c r="Y44" s="36">
        <f t="shared" si="11"/>
        <v>7</v>
      </c>
      <c r="Z44" s="33">
        <v>1284.0</v>
      </c>
      <c r="AA44" s="33">
        <v>988.0</v>
      </c>
      <c r="AB44" s="29">
        <f t="shared" si="12"/>
        <v>-296</v>
      </c>
      <c r="AC44" s="35">
        <f t="shared" si="13"/>
        <v>-0.230529595</v>
      </c>
      <c r="AD44" s="36">
        <f t="shared" si="14"/>
        <v>11</v>
      </c>
      <c r="AE44" s="29">
        <f t="shared" si="15"/>
        <v>11.7</v>
      </c>
      <c r="AF44" s="33">
        <f t="shared" ref="AF44:AG44" si="114">K44</f>
        <v>25</v>
      </c>
      <c r="AG44" s="33">
        <f t="shared" si="114"/>
        <v>29</v>
      </c>
      <c r="AH44" s="34">
        <f t="shared" si="17"/>
        <v>4</v>
      </c>
      <c r="AI44" s="35">
        <f t="shared" si="18"/>
        <v>0.16</v>
      </c>
      <c r="AJ44" s="33">
        <f t="shared" si="19"/>
        <v>0.9645767504</v>
      </c>
      <c r="AK44" s="36">
        <f t="shared" si="20"/>
        <v>16</v>
      </c>
      <c r="AL44" s="29">
        <f t="shared" ref="AL44:AM44" si="115">P44</f>
        <v>57</v>
      </c>
      <c r="AM44" s="29">
        <f t="shared" si="115"/>
        <v>4</v>
      </c>
      <c r="AN44" s="34">
        <f t="shared" si="22"/>
        <v>-53</v>
      </c>
      <c r="AO44" s="35">
        <f t="shared" si="23"/>
        <v>-0.9298245614</v>
      </c>
      <c r="AP44" s="33">
        <f t="shared" si="24"/>
        <v>0.133045069</v>
      </c>
      <c r="AQ44" s="36">
        <f t="shared" si="25"/>
        <v>33</v>
      </c>
      <c r="AR44" s="29">
        <v>318.0</v>
      </c>
      <c r="AS44" s="29">
        <v>358.0</v>
      </c>
      <c r="AT44" s="29">
        <f t="shared" si="26"/>
        <v>40</v>
      </c>
      <c r="AU44" s="35">
        <f t="shared" si="27"/>
        <v>0.1257861635</v>
      </c>
      <c r="AV44" s="33">
        <f t="shared" si="28"/>
        <v>11.90753368</v>
      </c>
      <c r="AW44" s="33">
        <f t="shared" si="46"/>
        <v>3.611667074</v>
      </c>
      <c r="AX44" s="36">
        <f t="shared" si="29"/>
        <v>21</v>
      </c>
      <c r="AY44" s="33">
        <v>1284.0</v>
      </c>
      <c r="AZ44" s="33">
        <v>988.0</v>
      </c>
      <c r="BA44" s="29">
        <f t="shared" si="30"/>
        <v>-296</v>
      </c>
      <c r="BB44" s="35">
        <f t="shared" si="31"/>
        <v>-0.230529595</v>
      </c>
      <c r="BC44" s="36">
        <f t="shared" si="32"/>
        <v>32.86213205</v>
      </c>
      <c r="BD44" s="33">
        <f t="shared" si="33"/>
        <v>3.774434904</v>
      </c>
      <c r="BE44" s="36">
        <f t="shared" si="34"/>
        <v>22</v>
      </c>
      <c r="BF44" s="29">
        <f t="shared" si="35"/>
        <v>22.4</v>
      </c>
      <c r="BH44" s="29">
        <f t="shared" si="47"/>
        <v>20.45</v>
      </c>
      <c r="BI44" s="1">
        <f t="shared" si="36"/>
        <v>21.5</v>
      </c>
      <c r="BJ44" s="1">
        <f t="shared" si="37"/>
        <v>3.693050989</v>
      </c>
      <c r="BK44" s="1">
        <f t="shared" si="38"/>
        <v>21</v>
      </c>
      <c r="BL44" s="3">
        <f t="shared" si="39"/>
        <v>1.33045069</v>
      </c>
      <c r="BM44" s="33">
        <f t="shared" si="40"/>
        <v>21</v>
      </c>
      <c r="BN44" s="3">
        <f t="shared" si="41"/>
        <v>-9.845335107</v>
      </c>
      <c r="BO44" s="33">
        <f t="shared" si="42"/>
        <v>13</v>
      </c>
      <c r="BP44" s="1">
        <f t="shared" si="43"/>
        <v>17</v>
      </c>
    </row>
    <row r="45" ht="15.75" customHeight="1">
      <c r="C45" s="29"/>
      <c r="D45" s="30" t="s">
        <v>80</v>
      </c>
      <c r="E45" s="31"/>
      <c r="F45" s="31"/>
      <c r="G45" s="31"/>
      <c r="H45" s="31"/>
      <c r="I45" s="31"/>
      <c r="J45" s="37">
        <v>334391.0</v>
      </c>
      <c r="K45" s="33">
        <v>47.0</v>
      </c>
      <c r="L45" s="33">
        <v>31.0</v>
      </c>
      <c r="M45" s="34">
        <v>-16.0</v>
      </c>
      <c r="N45" s="35">
        <f t="shared" si="4"/>
        <v>-0.3404255319</v>
      </c>
      <c r="O45" s="36">
        <f t="shared" si="5"/>
        <v>7</v>
      </c>
      <c r="P45" s="29">
        <v>53.0</v>
      </c>
      <c r="Q45" s="29">
        <v>71.0</v>
      </c>
      <c r="R45" s="34">
        <f t="shared" si="6"/>
        <v>18</v>
      </c>
      <c r="S45" s="35">
        <f t="shared" si="7"/>
        <v>0.3396226415</v>
      </c>
      <c r="T45" s="36">
        <f t="shared" si="8"/>
        <v>3</v>
      </c>
      <c r="U45" s="29">
        <v>787.0</v>
      </c>
      <c r="V45" s="29">
        <v>709.0</v>
      </c>
      <c r="W45" s="29">
        <f t="shared" si="9"/>
        <v>-78</v>
      </c>
      <c r="X45" s="35">
        <f t="shared" si="10"/>
        <v>-0.09911054638</v>
      </c>
      <c r="Y45" s="36">
        <f t="shared" si="11"/>
        <v>1</v>
      </c>
      <c r="Z45" s="33">
        <v>4445.0</v>
      </c>
      <c r="AA45" s="33">
        <v>2581.0</v>
      </c>
      <c r="AB45" s="29">
        <f t="shared" si="12"/>
        <v>-1864</v>
      </c>
      <c r="AC45" s="35">
        <f t="shared" si="13"/>
        <v>-0.4193475816</v>
      </c>
      <c r="AD45" s="36">
        <f t="shared" si="14"/>
        <v>1</v>
      </c>
      <c r="AE45" s="29">
        <f t="shared" si="15"/>
        <v>2.2</v>
      </c>
      <c r="AF45" s="33">
        <f t="shared" ref="AF45:AG45" si="116">K45</f>
        <v>47</v>
      </c>
      <c r="AG45" s="33">
        <f t="shared" si="116"/>
        <v>31</v>
      </c>
      <c r="AH45" s="34">
        <f t="shared" si="17"/>
        <v>-16</v>
      </c>
      <c r="AI45" s="35">
        <f t="shared" si="18"/>
        <v>-0.3404255319</v>
      </c>
      <c r="AJ45" s="33">
        <f t="shared" si="19"/>
        <v>0.9270584436</v>
      </c>
      <c r="AK45" s="36">
        <f t="shared" si="20"/>
        <v>17</v>
      </c>
      <c r="AL45" s="29">
        <f t="shared" ref="AL45:AM45" si="117">P45</f>
        <v>53</v>
      </c>
      <c r="AM45" s="29">
        <f t="shared" si="117"/>
        <v>71</v>
      </c>
      <c r="AN45" s="34">
        <f t="shared" si="22"/>
        <v>18</v>
      </c>
      <c r="AO45" s="35">
        <f t="shared" si="23"/>
        <v>0.3396226415</v>
      </c>
      <c r="AP45" s="33">
        <f t="shared" si="24"/>
        <v>2.123262887</v>
      </c>
      <c r="AQ45" s="36">
        <f t="shared" si="25"/>
        <v>5</v>
      </c>
      <c r="AR45" s="29">
        <v>787.0</v>
      </c>
      <c r="AS45" s="29">
        <v>709.0</v>
      </c>
      <c r="AT45" s="29">
        <f t="shared" si="26"/>
        <v>-78</v>
      </c>
      <c r="AU45" s="35">
        <f t="shared" si="27"/>
        <v>-0.09911054638</v>
      </c>
      <c r="AV45" s="33">
        <f t="shared" si="28"/>
        <v>21.20272376</v>
      </c>
      <c r="AW45" s="33">
        <f t="shared" si="46"/>
        <v>2.527914654</v>
      </c>
      <c r="AX45" s="36">
        <f t="shared" si="29"/>
        <v>7</v>
      </c>
      <c r="AY45" s="33">
        <v>4445.0</v>
      </c>
      <c r="AZ45" s="33">
        <v>2581.0</v>
      </c>
      <c r="BA45" s="29">
        <f t="shared" si="30"/>
        <v>-1864</v>
      </c>
      <c r="BB45" s="35">
        <f t="shared" si="31"/>
        <v>-0.4193475816</v>
      </c>
      <c r="BC45" s="36">
        <f t="shared" si="32"/>
        <v>77.1850917</v>
      </c>
      <c r="BD45" s="33">
        <f t="shared" si="33"/>
        <v>2.121448048</v>
      </c>
      <c r="BE45" s="36">
        <f t="shared" si="34"/>
        <v>7</v>
      </c>
      <c r="BF45" s="29">
        <f t="shared" si="35"/>
        <v>8.2</v>
      </c>
      <c r="BH45" s="29">
        <f t="shared" si="47"/>
        <v>6.4</v>
      </c>
      <c r="BI45" s="1">
        <f t="shared" si="36"/>
        <v>7</v>
      </c>
      <c r="BJ45" s="1">
        <f t="shared" si="37"/>
        <v>2.324681351</v>
      </c>
      <c r="BK45" s="1">
        <f t="shared" si="38"/>
        <v>6</v>
      </c>
      <c r="BL45" s="3">
        <f t="shared" si="39"/>
        <v>-2.332598664</v>
      </c>
      <c r="BM45" s="33">
        <f t="shared" si="40"/>
        <v>3</v>
      </c>
      <c r="BN45" s="3">
        <f t="shared" si="41"/>
        <v>-55.74312706</v>
      </c>
      <c r="BO45" s="33">
        <f t="shared" si="42"/>
        <v>3</v>
      </c>
      <c r="BP45" s="1">
        <f t="shared" si="43"/>
        <v>3</v>
      </c>
    </row>
    <row r="46" ht="15.75" customHeight="1">
      <c r="C46" s="29"/>
      <c r="D46" s="30" t="s">
        <v>81</v>
      </c>
      <c r="E46" s="31"/>
      <c r="F46" s="31"/>
      <c r="G46" s="31"/>
      <c r="H46" s="31"/>
      <c r="I46" s="31"/>
      <c r="J46" s="27">
        <v>133149.0</v>
      </c>
      <c r="K46" s="33">
        <v>45.0</v>
      </c>
      <c r="L46" s="33">
        <v>34.0</v>
      </c>
      <c r="M46" s="34">
        <v>-11.0</v>
      </c>
      <c r="N46" s="35">
        <f t="shared" si="4"/>
        <v>-0.2444444444</v>
      </c>
      <c r="O46" s="36">
        <f t="shared" si="5"/>
        <v>4</v>
      </c>
      <c r="P46" s="29">
        <v>30.0</v>
      </c>
      <c r="Q46" s="29">
        <v>45.0</v>
      </c>
      <c r="R46" s="34">
        <f t="shared" si="6"/>
        <v>15</v>
      </c>
      <c r="S46" s="35">
        <f t="shared" si="7"/>
        <v>0.5</v>
      </c>
      <c r="T46" s="36">
        <f t="shared" si="8"/>
        <v>5</v>
      </c>
      <c r="U46" s="29">
        <v>432.0</v>
      </c>
      <c r="V46" s="29">
        <v>571.0</v>
      </c>
      <c r="W46" s="29">
        <f t="shared" si="9"/>
        <v>139</v>
      </c>
      <c r="X46" s="35">
        <f t="shared" si="10"/>
        <v>0.3217592593</v>
      </c>
      <c r="Y46" s="36">
        <f t="shared" si="11"/>
        <v>3</v>
      </c>
      <c r="Z46" s="33">
        <v>2141.0</v>
      </c>
      <c r="AA46" s="33">
        <v>1703.0</v>
      </c>
      <c r="AB46" s="29">
        <f t="shared" si="12"/>
        <v>-438</v>
      </c>
      <c r="AC46" s="35">
        <f t="shared" si="13"/>
        <v>-0.2045773003</v>
      </c>
      <c r="AD46" s="36">
        <f t="shared" si="14"/>
        <v>3</v>
      </c>
      <c r="AE46" s="29">
        <f t="shared" si="15"/>
        <v>3.45</v>
      </c>
      <c r="AF46" s="33">
        <f t="shared" ref="AF46:AG46" si="118">K46</f>
        <v>45</v>
      </c>
      <c r="AG46" s="33">
        <f t="shared" si="118"/>
        <v>34</v>
      </c>
      <c r="AH46" s="34">
        <f t="shared" si="17"/>
        <v>-11</v>
      </c>
      <c r="AI46" s="35">
        <f t="shared" si="18"/>
        <v>-0.2444444444</v>
      </c>
      <c r="AJ46" s="33">
        <f t="shared" si="19"/>
        <v>2.553530256</v>
      </c>
      <c r="AK46" s="36">
        <f t="shared" si="20"/>
        <v>4</v>
      </c>
      <c r="AL46" s="29">
        <f t="shared" ref="AL46:AM46" si="119">P46</f>
        <v>30</v>
      </c>
      <c r="AM46" s="29">
        <f t="shared" si="119"/>
        <v>45</v>
      </c>
      <c r="AN46" s="34">
        <f t="shared" si="22"/>
        <v>15</v>
      </c>
      <c r="AO46" s="35">
        <f t="shared" si="23"/>
        <v>0.5</v>
      </c>
      <c r="AP46" s="33">
        <f t="shared" si="24"/>
        <v>3.379672397</v>
      </c>
      <c r="AQ46" s="36">
        <f t="shared" si="25"/>
        <v>3</v>
      </c>
      <c r="AR46" s="29">
        <v>432.0</v>
      </c>
      <c r="AS46" s="29">
        <v>571.0</v>
      </c>
      <c r="AT46" s="29">
        <f t="shared" si="26"/>
        <v>139</v>
      </c>
      <c r="AU46" s="35">
        <f t="shared" si="27"/>
        <v>0.3217592593</v>
      </c>
      <c r="AV46" s="33">
        <f t="shared" si="28"/>
        <v>42.88428753</v>
      </c>
      <c r="AW46" s="33">
        <f t="shared" si="46"/>
        <v>0</v>
      </c>
      <c r="AX46" s="36">
        <f t="shared" si="29"/>
        <v>1</v>
      </c>
      <c r="AY46" s="33">
        <v>2141.0</v>
      </c>
      <c r="AZ46" s="33">
        <v>1703.0</v>
      </c>
      <c r="BA46" s="29">
        <f t="shared" si="30"/>
        <v>-438</v>
      </c>
      <c r="BB46" s="35">
        <f t="shared" si="31"/>
        <v>-0.2045773003</v>
      </c>
      <c r="BC46" s="36">
        <f t="shared" si="32"/>
        <v>127.9018243</v>
      </c>
      <c r="BD46" s="33">
        <f t="shared" si="33"/>
        <v>0.2300109031</v>
      </c>
      <c r="BE46" s="36">
        <f t="shared" si="34"/>
        <v>2</v>
      </c>
      <c r="BF46" s="29">
        <f t="shared" si="35"/>
        <v>2.1</v>
      </c>
      <c r="BH46" s="29">
        <f t="shared" si="47"/>
        <v>2.4</v>
      </c>
      <c r="BI46" s="1">
        <f t="shared" si="36"/>
        <v>1.5</v>
      </c>
      <c r="BJ46" s="1">
        <f t="shared" si="37"/>
        <v>0.1150054516</v>
      </c>
      <c r="BK46" s="1">
        <f t="shared" si="38"/>
        <v>1</v>
      </c>
      <c r="BL46" s="3">
        <f t="shared" si="39"/>
        <v>10.43943252</v>
      </c>
      <c r="BM46" s="33">
        <f t="shared" si="40"/>
        <v>53</v>
      </c>
      <c r="BN46" s="3">
        <f t="shared" si="41"/>
        <v>-32.895478</v>
      </c>
      <c r="BO46" s="33">
        <f t="shared" si="42"/>
        <v>7</v>
      </c>
      <c r="BP46" s="1">
        <f t="shared" si="43"/>
        <v>30</v>
      </c>
    </row>
    <row r="47" ht="15.75" customHeight="1">
      <c r="C47" s="29"/>
      <c r="D47" s="30" t="s">
        <v>82</v>
      </c>
      <c r="E47" s="31"/>
      <c r="F47" s="31"/>
      <c r="G47" s="31"/>
      <c r="H47" s="31"/>
      <c r="I47" s="31"/>
      <c r="J47" s="27">
        <v>59622.0</v>
      </c>
      <c r="K47" s="33">
        <v>0.0</v>
      </c>
      <c r="L47" s="33">
        <v>1.0</v>
      </c>
      <c r="M47" s="34">
        <v>1.0</v>
      </c>
      <c r="N47" s="35" t="str">
        <f t="shared" si="4"/>
        <v>-</v>
      </c>
      <c r="O47" s="36">
        <f t="shared" si="5"/>
        <v>38</v>
      </c>
      <c r="P47" s="29">
        <v>0.0</v>
      </c>
      <c r="Q47" s="29">
        <v>0.0</v>
      </c>
      <c r="R47" s="34">
        <f t="shared" si="6"/>
        <v>0</v>
      </c>
      <c r="S47" s="35" t="str">
        <f t="shared" si="7"/>
        <v>-</v>
      </c>
      <c r="T47" s="36">
        <f t="shared" si="8"/>
        <v>38</v>
      </c>
      <c r="U47" s="29">
        <v>30.0</v>
      </c>
      <c r="V47" s="29">
        <v>25.0</v>
      </c>
      <c r="W47" s="29">
        <f t="shared" si="9"/>
        <v>-5</v>
      </c>
      <c r="X47" s="35">
        <f t="shared" si="10"/>
        <v>-0.1666666667</v>
      </c>
      <c r="Y47" s="36">
        <f t="shared" si="11"/>
        <v>44</v>
      </c>
      <c r="Z47" s="33">
        <v>23.0</v>
      </c>
      <c r="AA47" s="33">
        <v>27.0</v>
      </c>
      <c r="AB47" s="29">
        <f t="shared" si="12"/>
        <v>4</v>
      </c>
      <c r="AC47" s="35">
        <f t="shared" si="13"/>
        <v>0.1739130435</v>
      </c>
      <c r="AD47" s="36">
        <f t="shared" si="14"/>
        <v>52</v>
      </c>
      <c r="AE47" s="29">
        <f t="shared" si="15"/>
        <v>45</v>
      </c>
      <c r="AF47" s="33">
        <f t="shared" ref="AF47:AG47" si="120">K47</f>
        <v>0</v>
      </c>
      <c r="AG47" s="33">
        <f t="shared" si="120"/>
        <v>1</v>
      </c>
      <c r="AH47" s="34">
        <f t="shared" si="17"/>
        <v>1</v>
      </c>
      <c r="AI47" s="35" t="str">
        <f t="shared" si="18"/>
        <v>-</v>
      </c>
      <c r="AJ47" s="33">
        <f t="shared" si="19"/>
        <v>0.1677233236</v>
      </c>
      <c r="AK47" s="36">
        <f t="shared" si="20"/>
        <v>39</v>
      </c>
      <c r="AL47" s="29">
        <f t="shared" ref="AL47:AM47" si="121">P47</f>
        <v>0</v>
      </c>
      <c r="AM47" s="29">
        <f t="shared" si="121"/>
        <v>0</v>
      </c>
      <c r="AN47" s="34">
        <f t="shared" si="22"/>
        <v>0</v>
      </c>
      <c r="AO47" s="35" t="str">
        <f t="shared" si="23"/>
        <v>-</v>
      </c>
      <c r="AP47" s="33">
        <f t="shared" si="24"/>
        <v>0</v>
      </c>
      <c r="AQ47" s="36">
        <f t="shared" si="25"/>
        <v>38</v>
      </c>
      <c r="AR47" s="29">
        <v>30.0</v>
      </c>
      <c r="AS47" s="29">
        <v>25.0</v>
      </c>
      <c r="AT47" s="29">
        <f t="shared" si="26"/>
        <v>-5</v>
      </c>
      <c r="AU47" s="35">
        <f t="shared" si="27"/>
        <v>-0.1666666667</v>
      </c>
      <c r="AV47" s="33">
        <f t="shared" si="28"/>
        <v>4.19308309</v>
      </c>
      <c r="AW47" s="33">
        <f t="shared" si="46"/>
        <v>4.51111662</v>
      </c>
      <c r="AX47" s="36">
        <f t="shared" si="29"/>
        <v>44</v>
      </c>
      <c r="AY47" s="33">
        <v>23.0</v>
      </c>
      <c r="AZ47" s="33">
        <v>27.0</v>
      </c>
      <c r="BA47" s="29">
        <f t="shared" si="30"/>
        <v>4</v>
      </c>
      <c r="BB47" s="35">
        <f t="shared" si="31"/>
        <v>0.1739130435</v>
      </c>
      <c r="BC47" s="36">
        <f t="shared" si="32"/>
        <v>4.528529737</v>
      </c>
      <c r="BD47" s="33">
        <f t="shared" si="33"/>
        <v>4.831112358</v>
      </c>
      <c r="BE47" s="36">
        <f t="shared" si="34"/>
        <v>53</v>
      </c>
      <c r="BF47" s="29">
        <f t="shared" si="35"/>
        <v>45.5</v>
      </c>
      <c r="BH47" s="29">
        <f t="shared" si="47"/>
        <v>45.35</v>
      </c>
      <c r="BI47" s="1">
        <f t="shared" si="36"/>
        <v>48.5</v>
      </c>
      <c r="BJ47" s="1">
        <f t="shared" si="37"/>
        <v>4.671114489</v>
      </c>
      <c r="BK47" s="1">
        <f t="shared" si="38"/>
        <v>50</v>
      </c>
      <c r="BL47" s="3">
        <f t="shared" si="39"/>
        <v>-0.838616618</v>
      </c>
      <c r="BM47" s="33">
        <f t="shared" si="40"/>
        <v>6</v>
      </c>
      <c r="BN47" s="3">
        <f t="shared" si="41"/>
        <v>0.6708932944</v>
      </c>
      <c r="BO47" s="33">
        <f t="shared" si="42"/>
        <v>35</v>
      </c>
      <c r="BP47" s="1">
        <f t="shared" si="43"/>
        <v>20.5</v>
      </c>
    </row>
    <row r="48" ht="15.75" customHeight="1">
      <c r="C48" s="29"/>
      <c r="D48" s="30" t="s">
        <v>83</v>
      </c>
      <c r="E48" s="31"/>
      <c r="F48" s="31"/>
      <c r="G48" s="31"/>
      <c r="H48" s="31"/>
      <c r="I48" s="31"/>
      <c r="J48" s="27">
        <v>21789.0</v>
      </c>
      <c r="K48" s="33">
        <v>1.0</v>
      </c>
      <c r="L48" s="33">
        <v>2.0</v>
      </c>
      <c r="M48" s="34">
        <v>1.0</v>
      </c>
      <c r="N48" s="35">
        <f t="shared" si="4"/>
        <v>1</v>
      </c>
      <c r="O48" s="36">
        <f t="shared" si="5"/>
        <v>37</v>
      </c>
      <c r="P48" s="29">
        <v>1.0</v>
      </c>
      <c r="Q48" s="29">
        <v>0.0</v>
      </c>
      <c r="R48" s="34">
        <f t="shared" si="6"/>
        <v>-1</v>
      </c>
      <c r="S48" s="35">
        <f t="shared" si="7"/>
        <v>-1</v>
      </c>
      <c r="T48" s="36">
        <f t="shared" si="8"/>
        <v>38</v>
      </c>
      <c r="U48" s="29">
        <v>8.0</v>
      </c>
      <c r="V48" s="29">
        <v>13.0</v>
      </c>
      <c r="W48" s="29">
        <f t="shared" si="9"/>
        <v>5</v>
      </c>
      <c r="X48" s="35">
        <f t="shared" si="10"/>
        <v>0.625</v>
      </c>
      <c r="Y48" s="36">
        <f t="shared" si="11"/>
        <v>49</v>
      </c>
      <c r="Z48" s="33">
        <v>30.0</v>
      </c>
      <c r="AA48" s="33">
        <v>70.0</v>
      </c>
      <c r="AB48" s="29">
        <f t="shared" si="12"/>
        <v>40</v>
      </c>
      <c r="AC48" s="35">
        <f t="shared" si="13"/>
        <v>1.333333333</v>
      </c>
      <c r="AD48" s="36">
        <f t="shared" si="14"/>
        <v>47</v>
      </c>
      <c r="AE48" s="29">
        <f t="shared" si="15"/>
        <v>44.85</v>
      </c>
      <c r="AF48" s="33">
        <f t="shared" ref="AF48:AG48" si="122">K48</f>
        <v>1</v>
      </c>
      <c r="AG48" s="33">
        <f t="shared" si="122"/>
        <v>2</v>
      </c>
      <c r="AH48" s="34">
        <f t="shared" si="17"/>
        <v>1</v>
      </c>
      <c r="AI48" s="35">
        <f t="shared" si="18"/>
        <v>1</v>
      </c>
      <c r="AJ48" s="33">
        <f t="shared" si="19"/>
        <v>0.9178943504</v>
      </c>
      <c r="AK48" s="36">
        <f t="shared" si="20"/>
        <v>18</v>
      </c>
      <c r="AL48" s="29">
        <f t="shared" ref="AL48:AM48" si="123">P48</f>
        <v>1</v>
      </c>
      <c r="AM48" s="29">
        <f t="shared" si="123"/>
        <v>0</v>
      </c>
      <c r="AN48" s="34">
        <f t="shared" si="22"/>
        <v>-1</v>
      </c>
      <c r="AO48" s="35">
        <f t="shared" si="23"/>
        <v>-1</v>
      </c>
      <c r="AP48" s="33">
        <f t="shared" si="24"/>
        <v>0</v>
      </c>
      <c r="AQ48" s="36">
        <f t="shared" si="25"/>
        <v>38</v>
      </c>
      <c r="AR48" s="29">
        <v>8.0</v>
      </c>
      <c r="AS48" s="29">
        <v>13.0</v>
      </c>
      <c r="AT48" s="29">
        <f t="shared" si="26"/>
        <v>5</v>
      </c>
      <c r="AU48" s="35">
        <f t="shared" si="27"/>
        <v>0.625</v>
      </c>
      <c r="AV48" s="33">
        <f t="shared" si="28"/>
        <v>5.966313277</v>
      </c>
      <c r="AW48" s="33">
        <f t="shared" si="46"/>
        <v>4.304370712</v>
      </c>
      <c r="AX48" s="36">
        <f t="shared" si="29"/>
        <v>40</v>
      </c>
      <c r="AY48" s="33">
        <v>30.0</v>
      </c>
      <c r="AZ48" s="33">
        <v>70.0</v>
      </c>
      <c r="BA48" s="29">
        <f t="shared" si="30"/>
        <v>40</v>
      </c>
      <c r="BB48" s="35">
        <f t="shared" si="31"/>
        <v>1.333333333</v>
      </c>
      <c r="BC48" s="36">
        <f t="shared" si="32"/>
        <v>32.12630226</v>
      </c>
      <c r="BD48" s="33">
        <f t="shared" si="33"/>
        <v>3.801877046</v>
      </c>
      <c r="BE48" s="36">
        <f t="shared" si="34"/>
        <v>23</v>
      </c>
      <c r="BF48" s="29">
        <f t="shared" si="35"/>
        <v>30.45</v>
      </c>
      <c r="BH48" s="29">
        <f t="shared" si="47"/>
        <v>33.3</v>
      </c>
      <c r="BI48" s="1">
        <f t="shared" si="36"/>
        <v>31.5</v>
      </c>
      <c r="BJ48" s="1">
        <f t="shared" si="37"/>
        <v>4.053123879</v>
      </c>
      <c r="BK48" s="1">
        <f t="shared" si="38"/>
        <v>30</v>
      </c>
      <c r="BL48" s="3">
        <f t="shared" si="39"/>
        <v>2.294735876</v>
      </c>
      <c r="BM48" s="33">
        <f t="shared" si="40"/>
        <v>26</v>
      </c>
      <c r="BN48" s="3">
        <f t="shared" si="41"/>
        <v>18.35788701</v>
      </c>
      <c r="BO48" s="33">
        <f t="shared" si="42"/>
        <v>52</v>
      </c>
      <c r="BP48" s="1">
        <f t="shared" si="43"/>
        <v>39</v>
      </c>
    </row>
    <row r="49" ht="15.75" customHeight="1">
      <c r="C49" s="29"/>
      <c r="D49" s="30" t="s">
        <v>84</v>
      </c>
      <c r="E49" s="31"/>
      <c r="F49" s="31"/>
      <c r="G49" s="31"/>
      <c r="H49" s="31"/>
      <c r="I49" s="31"/>
      <c r="J49" s="27">
        <v>101978.0</v>
      </c>
      <c r="K49" s="33">
        <v>1.0</v>
      </c>
      <c r="L49" s="33">
        <v>6.0</v>
      </c>
      <c r="M49" s="34">
        <v>5.0</v>
      </c>
      <c r="N49" s="35">
        <f t="shared" si="4"/>
        <v>5</v>
      </c>
      <c r="O49" s="36">
        <f t="shared" si="5"/>
        <v>29</v>
      </c>
      <c r="P49" s="29">
        <v>2.0</v>
      </c>
      <c r="Q49" s="29">
        <v>0.0</v>
      </c>
      <c r="R49" s="34">
        <f t="shared" si="6"/>
        <v>-2</v>
      </c>
      <c r="S49" s="35">
        <f t="shared" si="7"/>
        <v>-1</v>
      </c>
      <c r="T49" s="36">
        <f t="shared" si="8"/>
        <v>38</v>
      </c>
      <c r="U49" s="29">
        <v>79.0</v>
      </c>
      <c r="V49" s="29">
        <v>103.0</v>
      </c>
      <c r="W49" s="29">
        <f t="shared" si="9"/>
        <v>24</v>
      </c>
      <c r="X49" s="35">
        <f t="shared" si="10"/>
        <v>0.3037974684</v>
      </c>
      <c r="Y49" s="36">
        <f t="shared" si="11"/>
        <v>31</v>
      </c>
      <c r="Z49" s="33">
        <v>202.0</v>
      </c>
      <c r="AA49" s="33">
        <v>166.0</v>
      </c>
      <c r="AB49" s="29">
        <f t="shared" si="12"/>
        <v>-36</v>
      </c>
      <c r="AC49" s="35">
        <f t="shared" si="13"/>
        <v>-0.1782178218</v>
      </c>
      <c r="AD49" s="36">
        <f t="shared" si="14"/>
        <v>39</v>
      </c>
      <c r="AE49" s="29">
        <f t="shared" si="15"/>
        <v>34.55</v>
      </c>
      <c r="AF49" s="33">
        <f t="shared" ref="AF49:AG49" si="124">K49</f>
        <v>1</v>
      </c>
      <c r="AG49" s="33">
        <f t="shared" si="124"/>
        <v>6</v>
      </c>
      <c r="AH49" s="34">
        <f t="shared" si="17"/>
        <v>5</v>
      </c>
      <c r="AI49" s="35">
        <f t="shared" si="18"/>
        <v>5</v>
      </c>
      <c r="AJ49" s="33">
        <f t="shared" si="19"/>
        <v>0.5883621958</v>
      </c>
      <c r="AK49" s="36">
        <f t="shared" si="20"/>
        <v>30</v>
      </c>
      <c r="AL49" s="29">
        <f t="shared" ref="AL49:AM49" si="125">P49</f>
        <v>2</v>
      </c>
      <c r="AM49" s="29">
        <f t="shared" si="125"/>
        <v>0</v>
      </c>
      <c r="AN49" s="34">
        <f t="shared" si="22"/>
        <v>-2</v>
      </c>
      <c r="AO49" s="35">
        <f t="shared" si="23"/>
        <v>-1</v>
      </c>
      <c r="AP49" s="33">
        <f t="shared" si="24"/>
        <v>0</v>
      </c>
      <c r="AQ49" s="36">
        <f t="shared" si="25"/>
        <v>38</v>
      </c>
      <c r="AR49" s="29">
        <v>79.0</v>
      </c>
      <c r="AS49" s="29">
        <v>103.0</v>
      </c>
      <c r="AT49" s="29">
        <f t="shared" si="26"/>
        <v>24</v>
      </c>
      <c r="AU49" s="35">
        <f t="shared" si="27"/>
        <v>0.3037974684</v>
      </c>
      <c r="AV49" s="33">
        <f t="shared" si="28"/>
        <v>10.10021769</v>
      </c>
      <c r="AW49" s="33">
        <f t="shared" si="46"/>
        <v>3.82238714</v>
      </c>
      <c r="AX49" s="36">
        <f t="shared" si="29"/>
        <v>25</v>
      </c>
      <c r="AY49" s="33">
        <v>202.0</v>
      </c>
      <c r="AZ49" s="33">
        <v>166.0</v>
      </c>
      <c r="BA49" s="29">
        <f t="shared" si="30"/>
        <v>-36</v>
      </c>
      <c r="BB49" s="35">
        <f t="shared" si="31"/>
        <v>-0.1782178218</v>
      </c>
      <c r="BC49" s="36">
        <f t="shared" si="32"/>
        <v>16.27802075</v>
      </c>
      <c r="BD49" s="33">
        <f t="shared" si="33"/>
        <v>4.392925144</v>
      </c>
      <c r="BE49" s="36">
        <f t="shared" si="34"/>
        <v>42</v>
      </c>
      <c r="BF49" s="29">
        <f t="shared" si="35"/>
        <v>33.65</v>
      </c>
      <c r="BH49" s="29">
        <f t="shared" si="47"/>
        <v>33.5</v>
      </c>
      <c r="BI49" s="1">
        <f t="shared" si="36"/>
        <v>33.5</v>
      </c>
      <c r="BJ49" s="1">
        <f t="shared" si="37"/>
        <v>4.107656142</v>
      </c>
      <c r="BK49" s="1">
        <f t="shared" si="38"/>
        <v>35</v>
      </c>
      <c r="BL49" s="3">
        <f t="shared" si="39"/>
        <v>2.353448783</v>
      </c>
      <c r="BM49" s="33">
        <f t="shared" si="40"/>
        <v>27</v>
      </c>
      <c r="BN49" s="3">
        <f t="shared" si="41"/>
        <v>-3.530173175</v>
      </c>
      <c r="BO49" s="33">
        <f t="shared" si="42"/>
        <v>21</v>
      </c>
      <c r="BP49" s="1">
        <f t="shared" si="43"/>
        <v>24</v>
      </c>
    </row>
    <row r="50" ht="15.75" customHeight="1">
      <c r="C50" s="29"/>
      <c r="D50" s="30" t="s">
        <v>85</v>
      </c>
      <c r="E50" s="31"/>
      <c r="F50" s="31"/>
      <c r="G50" s="31"/>
      <c r="H50" s="31"/>
      <c r="I50" s="31"/>
      <c r="J50" s="27">
        <v>21294.0</v>
      </c>
      <c r="K50" s="33">
        <v>0.0</v>
      </c>
      <c r="L50" s="33">
        <v>0.0</v>
      </c>
      <c r="M50" s="34">
        <v>0.0</v>
      </c>
      <c r="N50" s="35" t="str">
        <f t="shared" si="4"/>
        <v>-</v>
      </c>
      <c r="O50" s="36">
        <f t="shared" si="5"/>
        <v>47</v>
      </c>
      <c r="P50" s="29">
        <v>0.0</v>
      </c>
      <c r="Q50" s="29">
        <v>0.0</v>
      </c>
      <c r="R50" s="34">
        <f t="shared" si="6"/>
        <v>0</v>
      </c>
      <c r="S50" s="35" t="str">
        <f t="shared" si="7"/>
        <v>-</v>
      </c>
      <c r="T50" s="36">
        <f t="shared" si="8"/>
        <v>38</v>
      </c>
      <c r="U50" s="29">
        <v>15.0</v>
      </c>
      <c r="V50" s="29">
        <v>10.0</v>
      </c>
      <c r="W50" s="29">
        <f t="shared" si="9"/>
        <v>-5</v>
      </c>
      <c r="X50" s="35">
        <f t="shared" si="10"/>
        <v>-0.3333333333</v>
      </c>
      <c r="Y50" s="36">
        <f t="shared" si="11"/>
        <v>52</v>
      </c>
      <c r="Z50" s="33">
        <v>204.0</v>
      </c>
      <c r="AA50" s="33">
        <v>88.0</v>
      </c>
      <c r="AB50" s="29">
        <f t="shared" si="12"/>
        <v>-116</v>
      </c>
      <c r="AC50" s="35">
        <f t="shared" si="13"/>
        <v>-0.568627451</v>
      </c>
      <c r="AD50" s="36">
        <f t="shared" si="14"/>
        <v>44</v>
      </c>
      <c r="AE50" s="29">
        <f t="shared" si="15"/>
        <v>46.35</v>
      </c>
      <c r="AF50" s="33">
        <f t="shared" ref="AF50:AG50" si="126">K50</f>
        <v>0</v>
      </c>
      <c r="AG50" s="33">
        <f t="shared" si="126"/>
        <v>0</v>
      </c>
      <c r="AH50" s="34">
        <f t="shared" si="17"/>
        <v>0</v>
      </c>
      <c r="AI50" s="35" t="str">
        <f t="shared" si="18"/>
        <v>-</v>
      </c>
      <c r="AJ50" s="33">
        <f t="shared" si="19"/>
        <v>0</v>
      </c>
      <c r="AK50" s="36">
        <f t="shared" si="20"/>
        <v>47</v>
      </c>
      <c r="AL50" s="29">
        <f t="shared" ref="AL50:AM50" si="127">P50</f>
        <v>0</v>
      </c>
      <c r="AM50" s="29">
        <f t="shared" si="127"/>
        <v>0</v>
      </c>
      <c r="AN50" s="34">
        <f t="shared" si="22"/>
        <v>0</v>
      </c>
      <c r="AO50" s="35" t="str">
        <f t="shared" si="23"/>
        <v>-</v>
      </c>
      <c r="AP50" s="33">
        <f t="shared" si="24"/>
        <v>0</v>
      </c>
      <c r="AQ50" s="36">
        <f t="shared" si="25"/>
        <v>38</v>
      </c>
      <c r="AR50" s="29">
        <v>15.0</v>
      </c>
      <c r="AS50" s="29">
        <v>10.0</v>
      </c>
      <c r="AT50" s="29">
        <f t="shared" si="26"/>
        <v>-5</v>
      </c>
      <c r="AU50" s="35">
        <f t="shared" si="27"/>
        <v>-0.3333333333</v>
      </c>
      <c r="AV50" s="33">
        <f t="shared" si="28"/>
        <v>4.696158542</v>
      </c>
      <c r="AW50" s="33">
        <f t="shared" si="46"/>
        <v>4.452461634</v>
      </c>
      <c r="AX50" s="36">
        <f t="shared" si="29"/>
        <v>43</v>
      </c>
      <c r="AY50" s="33">
        <v>204.0</v>
      </c>
      <c r="AZ50" s="33">
        <v>88.0</v>
      </c>
      <c r="BA50" s="29">
        <f t="shared" si="30"/>
        <v>-116</v>
      </c>
      <c r="BB50" s="35">
        <f t="shared" si="31"/>
        <v>-0.568627451</v>
      </c>
      <c r="BC50" s="36">
        <f t="shared" si="32"/>
        <v>41.32619517</v>
      </c>
      <c r="BD50" s="33">
        <f t="shared" si="33"/>
        <v>3.458774912</v>
      </c>
      <c r="BE50" s="36">
        <f t="shared" si="34"/>
        <v>15</v>
      </c>
      <c r="BF50" s="29">
        <f t="shared" si="35"/>
        <v>33.05</v>
      </c>
      <c r="BH50" s="29">
        <f t="shared" si="47"/>
        <v>33.05</v>
      </c>
      <c r="BI50" s="1">
        <f t="shared" si="36"/>
        <v>29</v>
      </c>
      <c r="BJ50" s="1">
        <f t="shared" si="37"/>
        <v>3.955618273</v>
      </c>
      <c r="BK50" s="1">
        <f t="shared" si="38"/>
        <v>27</v>
      </c>
      <c r="BL50" s="3">
        <f t="shared" si="39"/>
        <v>-2.348079271</v>
      </c>
      <c r="BM50" s="33">
        <f t="shared" si="40"/>
        <v>2</v>
      </c>
      <c r="BN50" s="3">
        <f t="shared" si="41"/>
        <v>-54.47543909</v>
      </c>
      <c r="BO50" s="33">
        <f t="shared" si="42"/>
        <v>4</v>
      </c>
      <c r="BP50" s="1">
        <f t="shared" si="43"/>
        <v>3</v>
      </c>
    </row>
    <row r="51" ht="15.75" customHeight="1">
      <c r="C51" s="29"/>
      <c r="D51" s="30" t="s">
        <v>86</v>
      </c>
      <c r="E51" s="31"/>
      <c r="F51" s="31"/>
      <c r="G51" s="31"/>
      <c r="H51" s="31"/>
      <c r="I51" s="31"/>
      <c r="J51" s="27">
        <v>110507.0</v>
      </c>
      <c r="K51" s="33">
        <v>4.0</v>
      </c>
      <c r="L51" s="33">
        <v>4.0</v>
      </c>
      <c r="M51" s="34">
        <v>0.0</v>
      </c>
      <c r="N51" s="35">
        <f t="shared" si="4"/>
        <v>0</v>
      </c>
      <c r="O51" s="36">
        <f t="shared" si="5"/>
        <v>34</v>
      </c>
      <c r="P51" s="29">
        <v>1.0</v>
      </c>
      <c r="Q51" s="29">
        <v>0.0</v>
      </c>
      <c r="R51" s="34">
        <f t="shared" si="6"/>
        <v>-1</v>
      </c>
      <c r="S51" s="35">
        <f t="shared" si="7"/>
        <v>-1</v>
      </c>
      <c r="T51" s="36">
        <f t="shared" si="8"/>
        <v>38</v>
      </c>
      <c r="U51" s="29">
        <v>27.0</v>
      </c>
      <c r="V51" s="29">
        <v>25.0</v>
      </c>
      <c r="W51" s="29">
        <f t="shared" si="9"/>
        <v>-2</v>
      </c>
      <c r="X51" s="35">
        <f t="shared" si="10"/>
        <v>-0.07407407407</v>
      </c>
      <c r="Y51" s="36">
        <f t="shared" si="11"/>
        <v>44</v>
      </c>
      <c r="Z51" s="33">
        <v>93.0</v>
      </c>
      <c r="AA51" s="33">
        <v>126.0</v>
      </c>
      <c r="AB51" s="29">
        <f t="shared" si="12"/>
        <v>33</v>
      </c>
      <c r="AC51" s="35">
        <f t="shared" si="13"/>
        <v>0.3548387097</v>
      </c>
      <c r="AD51" s="36">
        <f t="shared" si="14"/>
        <v>42</v>
      </c>
      <c r="AE51" s="29">
        <f t="shared" si="15"/>
        <v>40.9</v>
      </c>
      <c r="AF51" s="33">
        <f t="shared" ref="AF51:AG51" si="128">K51</f>
        <v>4</v>
      </c>
      <c r="AG51" s="33">
        <f t="shared" si="128"/>
        <v>4</v>
      </c>
      <c r="AH51" s="34">
        <f t="shared" si="17"/>
        <v>0</v>
      </c>
      <c r="AI51" s="35">
        <f t="shared" si="18"/>
        <v>0</v>
      </c>
      <c r="AJ51" s="33">
        <f t="shared" si="19"/>
        <v>0.3619680201</v>
      </c>
      <c r="AK51" s="36">
        <f t="shared" si="20"/>
        <v>35</v>
      </c>
      <c r="AL51" s="29">
        <f t="shared" ref="AL51:AM51" si="129">P51</f>
        <v>1</v>
      </c>
      <c r="AM51" s="29">
        <f t="shared" si="129"/>
        <v>0</v>
      </c>
      <c r="AN51" s="34">
        <f t="shared" si="22"/>
        <v>-1</v>
      </c>
      <c r="AO51" s="35">
        <f t="shared" si="23"/>
        <v>-1</v>
      </c>
      <c r="AP51" s="33">
        <f t="shared" si="24"/>
        <v>0</v>
      </c>
      <c r="AQ51" s="36">
        <f t="shared" si="25"/>
        <v>38</v>
      </c>
      <c r="AR51" s="29">
        <v>27.0</v>
      </c>
      <c r="AS51" s="29">
        <v>25.0</v>
      </c>
      <c r="AT51" s="29">
        <f t="shared" si="26"/>
        <v>-2</v>
      </c>
      <c r="AU51" s="35">
        <f t="shared" si="27"/>
        <v>-0.07407407407</v>
      </c>
      <c r="AV51" s="33">
        <f t="shared" si="28"/>
        <v>2.262300126</v>
      </c>
      <c r="AW51" s="33">
        <f t="shared" si="46"/>
        <v>4.73623205</v>
      </c>
      <c r="AX51" s="36">
        <f t="shared" si="29"/>
        <v>52</v>
      </c>
      <c r="AY51" s="33">
        <v>93.0</v>
      </c>
      <c r="AZ51" s="33">
        <v>126.0</v>
      </c>
      <c r="BA51" s="29">
        <f t="shared" si="30"/>
        <v>33</v>
      </c>
      <c r="BB51" s="35">
        <f t="shared" si="31"/>
        <v>0.3548387097</v>
      </c>
      <c r="BC51" s="36">
        <f t="shared" si="32"/>
        <v>11.40199263</v>
      </c>
      <c r="BD51" s="33">
        <f t="shared" si="33"/>
        <v>4.574772441</v>
      </c>
      <c r="BE51" s="36">
        <f t="shared" si="34"/>
        <v>47</v>
      </c>
      <c r="BF51" s="29">
        <f t="shared" si="35"/>
        <v>45.6</v>
      </c>
      <c r="BH51" s="29">
        <f t="shared" si="47"/>
        <v>45.45</v>
      </c>
      <c r="BI51" s="1">
        <f t="shared" si="36"/>
        <v>49.5</v>
      </c>
      <c r="BJ51" s="1">
        <f t="shared" si="37"/>
        <v>4.655502245</v>
      </c>
      <c r="BK51" s="1">
        <f t="shared" si="38"/>
        <v>48</v>
      </c>
      <c r="BL51" s="3">
        <f t="shared" si="39"/>
        <v>-0.1809840101</v>
      </c>
      <c r="BM51" s="33">
        <f t="shared" si="40"/>
        <v>13</v>
      </c>
      <c r="BN51" s="3">
        <f t="shared" si="41"/>
        <v>2.986236166</v>
      </c>
      <c r="BO51" s="33">
        <f t="shared" si="42"/>
        <v>41</v>
      </c>
      <c r="BP51" s="1">
        <f t="shared" si="43"/>
        <v>27</v>
      </c>
    </row>
    <row r="52" ht="15.75" customHeight="1">
      <c r="C52" s="29"/>
      <c r="D52" s="30" t="s">
        <v>87</v>
      </c>
      <c r="E52" s="31"/>
      <c r="F52" s="31"/>
      <c r="G52" s="31"/>
      <c r="H52" s="31"/>
      <c r="I52" s="31"/>
      <c r="J52" s="37">
        <v>226936.0</v>
      </c>
      <c r="K52" s="33">
        <v>0.0</v>
      </c>
      <c r="L52" s="33">
        <v>1.0</v>
      </c>
      <c r="M52" s="34">
        <v>1.0</v>
      </c>
      <c r="N52" s="35" t="str">
        <f t="shared" si="4"/>
        <v>-</v>
      </c>
      <c r="O52" s="36">
        <f t="shared" si="5"/>
        <v>38</v>
      </c>
      <c r="P52" s="29">
        <v>2.0</v>
      </c>
      <c r="Q52" s="29">
        <v>0.0</v>
      </c>
      <c r="R52" s="34">
        <f t="shared" si="6"/>
        <v>-2</v>
      </c>
      <c r="S52" s="35">
        <f t="shared" si="7"/>
        <v>-1</v>
      </c>
      <c r="T52" s="36">
        <f t="shared" si="8"/>
        <v>38</v>
      </c>
      <c r="U52" s="29">
        <v>10.0</v>
      </c>
      <c r="V52" s="29">
        <v>67.0</v>
      </c>
      <c r="W52" s="29">
        <f t="shared" si="9"/>
        <v>57</v>
      </c>
      <c r="X52" s="35">
        <f t="shared" si="10"/>
        <v>5.7</v>
      </c>
      <c r="Y52" s="36">
        <f t="shared" si="11"/>
        <v>36</v>
      </c>
      <c r="Z52" s="33">
        <v>278.0</v>
      </c>
      <c r="AA52" s="33">
        <v>374.0</v>
      </c>
      <c r="AB52" s="29">
        <f t="shared" si="12"/>
        <v>96</v>
      </c>
      <c r="AC52" s="35">
        <f t="shared" si="13"/>
        <v>0.345323741</v>
      </c>
      <c r="AD52" s="36">
        <f t="shared" si="14"/>
        <v>28</v>
      </c>
      <c r="AE52" s="29">
        <f t="shared" si="15"/>
        <v>33.8</v>
      </c>
      <c r="AF52" s="33">
        <f t="shared" ref="AF52:AG52" si="130">K52</f>
        <v>0</v>
      </c>
      <c r="AG52" s="33">
        <f t="shared" si="130"/>
        <v>1</v>
      </c>
      <c r="AH52" s="34">
        <f t="shared" si="17"/>
        <v>1</v>
      </c>
      <c r="AI52" s="35" t="str">
        <f t="shared" si="18"/>
        <v>-</v>
      </c>
      <c r="AJ52" s="33">
        <f t="shared" si="19"/>
        <v>0.04406528713</v>
      </c>
      <c r="AK52" s="36">
        <f t="shared" si="20"/>
        <v>46</v>
      </c>
      <c r="AL52" s="29">
        <f t="shared" ref="AL52:AM52" si="131">P52</f>
        <v>2</v>
      </c>
      <c r="AM52" s="29">
        <f t="shared" si="131"/>
        <v>0</v>
      </c>
      <c r="AN52" s="34">
        <f t="shared" si="22"/>
        <v>-2</v>
      </c>
      <c r="AO52" s="35">
        <f t="shared" si="23"/>
        <v>-1</v>
      </c>
      <c r="AP52" s="33">
        <f t="shared" si="24"/>
        <v>0</v>
      </c>
      <c r="AQ52" s="36">
        <f t="shared" si="25"/>
        <v>38</v>
      </c>
      <c r="AR52" s="29">
        <v>10.0</v>
      </c>
      <c r="AS52" s="29">
        <v>67.0</v>
      </c>
      <c r="AT52" s="29">
        <f t="shared" si="26"/>
        <v>57</v>
      </c>
      <c r="AU52" s="35">
        <f t="shared" si="27"/>
        <v>5.7</v>
      </c>
      <c r="AV52" s="33">
        <f t="shared" si="28"/>
        <v>2.952374238</v>
      </c>
      <c r="AW52" s="33">
        <f t="shared" si="46"/>
        <v>4.655774363</v>
      </c>
      <c r="AX52" s="36">
        <f t="shared" si="29"/>
        <v>49</v>
      </c>
      <c r="AY52" s="33">
        <v>278.0</v>
      </c>
      <c r="AZ52" s="33">
        <v>374.0</v>
      </c>
      <c r="BA52" s="29">
        <f t="shared" si="30"/>
        <v>96</v>
      </c>
      <c r="BB52" s="35">
        <f t="shared" si="31"/>
        <v>0.345323741</v>
      </c>
      <c r="BC52" s="36">
        <f t="shared" si="32"/>
        <v>16.48041739</v>
      </c>
      <c r="BD52" s="33">
        <f t="shared" si="33"/>
        <v>4.385376935</v>
      </c>
      <c r="BE52" s="36">
        <f t="shared" si="34"/>
        <v>41</v>
      </c>
      <c r="BF52" s="29">
        <f t="shared" si="35"/>
        <v>44.1</v>
      </c>
      <c r="BH52" s="29">
        <f t="shared" si="47"/>
        <v>42.9</v>
      </c>
      <c r="BI52" s="1">
        <f t="shared" si="36"/>
        <v>45</v>
      </c>
      <c r="BJ52" s="1">
        <f t="shared" si="37"/>
        <v>4.520575649</v>
      </c>
      <c r="BK52" s="1">
        <f t="shared" si="38"/>
        <v>44</v>
      </c>
      <c r="BL52" s="3">
        <f t="shared" si="39"/>
        <v>2.511721366</v>
      </c>
      <c r="BM52" s="33">
        <f t="shared" si="40"/>
        <v>29</v>
      </c>
      <c r="BN52" s="3">
        <f t="shared" si="41"/>
        <v>4.230267564</v>
      </c>
      <c r="BO52" s="33">
        <f t="shared" si="42"/>
        <v>43</v>
      </c>
      <c r="BP52" s="1">
        <f t="shared" si="43"/>
        <v>36</v>
      </c>
    </row>
    <row r="53" ht="15.75" customHeight="1">
      <c r="C53" s="29"/>
      <c r="D53" s="30" t="s">
        <v>88</v>
      </c>
      <c r="E53" s="31"/>
      <c r="F53" s="31"/>
      <c r="G53" s="31"/>
      <c r="H53" s="31"/>
      <c r="I53" s="31"/>
      <c r="J53" s="27">
        <v>68758.0</v>
      </c>
      <c r="K53" s="33">
        <v>0.0</v>
      </c>
      <c r="L53" s="33">
        <v>0.0</v>
      </c>
      <c r="M53" s="34">
        <v>0.0</v>
      </c>
      <c r="N53" s="35" t="str">
        <f t="shared" si="4"/>
        <v>-</v>
      </c>
      <c r="O53" s="36">
        <f t="shared" si="5"/>
        <v>47</v>
      </c>
      <c r="P53" s="29">
        <v>1.0</v>
      </c>
      <c r="Q53" s="29">
        <v>0.0</v>
      </c>
      <c r="R53" s="34">
        <f t="shared" si="6"/>
        <v>-1</v>
      </c>
      <c r="S53" s="35">
        <f t="shared" si="7"/>
        <v>-1</v>
      </c>
      <c r="T53" s="36">
        <f t="shared" si="8"/>
        <v>38</v>
      </c>
      <c r="U53" s="29">
        <v>14.0</v>
      </c>
      <c r="V53" s="29">
        <v>12.0</v>
      </c>
      <c r="W53" s="29">
        <f t="shared" si="9"/>
        <v>-2</v>
      </c>
      <c r="X53" s="35">
        <f t="shared" si="10"/>
        <v>-0.1428571429</v>
      </c>
      <c r="Y53" s="36">
        <f t="shared" si="11"/>
        <v>50</v>
      </c>
      <c r="Z53" s="33">
        <v>66.0</v>
      </c>
      <c r="AA53" s="33">
        <v>55.0</v>
      </c>
      <c r="AB53" s="29">
        <f t="shared" si="12"/>
        <v>-11</v>
      </c>
      <c r="AC53" s="35">
        <f t="shared" si="13"/>
        <v>-0.1666666667</v>
      </c>
      <c r="AD53" s="36">
        <f t="shared" si="14"/>
        <v>50</v>
      </c>
      <c r="AE53" s="29">
        <f t="shared" si="15"/>
        <v>47.75</v>
      </c>
      <c r="AF53" s="33">
        <f t="shared" ref="AF53:AG53" si="132">K53</f>
        <v>0</v>
      </c>
      <c r="AG53" s="33">
        <f t="shared" si="132"/>
        <v>0</v>
      </c>
      <c r="AH53" s="34">
        <f t="shared" si="17"/>
        <v>0</v>
      </c>
      <c r="AI53" s="35" t="str">
        <f t="shared" si="18"/>
        <v>-</v>
      </c>
      <c r="AJ53" s="33">
        <f t="shared" si="19"/>
        <v>0</v>
      </c>
      <c r="AK53" s="36">
        <f t="shared" si="20"/>
        <v>47</v>
      </c>
      <c r="AL53" s="29">
        <f t="shared" ref="AL53:AM53" si="133">P53</f>
        <v>1</v>
      </c>
      <c r="AM53" s="29">
        <f t="shared" si="133"/>
        <v>0</v>
      </c>
      <c r="AN53" s="34">
        <f t="shared" si="22"/>
        <v>-1</v>
      </c>
      <c r="AO53" s="35">
        <f t="shared" si="23"/>
        <v>-1</v>
      </c>
      <c r="AP53" s="33">
        <f t="shared" si="24"/>
        <v>0</v>
      </c>
      <c r="AQ53" s="36">
        <f t="shared" si="25"/>
        <v>38</v>
      </c>
      <c r="AR53" s="29">
        <v>14.0</v>
      </c>
      <c r="AS53" s="29">
        <v>12.0</v>
      </c>
      <c r="AT53" s="29">
        <f t="shared" si="26"/>
        <v>-2</v>
      </c>
      <c r="AU53" s="35">
        <f t="shared" si="27"/>
        <v>-0.1428571429</v>
      </c>
      <c r="AV53" s="33">
        <f t="shared" si="28"/>
        <v>1.745251462</v>
      </c>
      <c r="AW53" s="33">
        <f t="shared" si="46"/>
        <v>4.796516211</v>
      </c>
      <c r="AX53" s="36">
        <f t="shared" si="29"/>
        <v>53</v>
      </c>
      <c r="AY53" s="33">
        <v>66.0</v>
      </c>
      <c r="AZ53" s="33">
        <v>55.0</v>
      </c>
      <c r="BA53" s="29">
        <f t="shared" si="30"/>
        <v>-11</v>
      </c>
      <c r="BB53" s="35">
        <f t="shared" si="31"/>
        <v>-0.1666666667</v>
      </c>
      <c r="BC53" s="36">
        <f t="shared" si="32"/>
        <v>7.999069199</v>
      </c>
      <c r="BD53" s="33">
        <f t="shared" si="33"/>
        <v>4.701681559</v>
      </c>
      <c r="BE53" s="36">
        <f t="shared" si="34"/>
        <v>51</v>
      </c>
      <c r="BF53" s="29">
        <f t="shared" si="35"/>
        <v>49.15</v>
      </c>
      <c r="BH53" s="29">
        <f t="shared" si="47"/>
        <v>49.15</v>
      </c>
      <c r="BI53" s="1">
        <f t="shared" si="36"/>
        <v>52</v>
      </c>
      <c r="BJ53" s="1">
        <f t="shared" si="37"/>
        <v>4.749098885</v>
      </c>
      <c r="BK53" s="1">
        <f t="shared" si="38"/>
        <v>51</v>
      </c>
      <c r="BL53" s="3">
        <f t="shared" si="39"/>
        <v>-0.2908752436</v>
      </c>
      <c r="BM53" s="33">
        <f t="shared" si="40"/>
        <v>12</v>
      </c>
      <c r="BN53" s="3">
        <f t="shared" si="41"/>
        <v>-1.59981384</v>
      </c>
      <c r="BO53" s="33">
        <f t="shared" si="42"/>
        <v>31</v>
      </c>
      <c r="BP53" s="1">
        <f t="shared" si="43"/>
        <v>21.5</v>
      </c>
    </row>
    <row r="54" ht="15.75" customHeight="1">
      <c r="C54" s="29"/>
      <c r="D54" s="30" t="s">
        <v>89</v>
      </c>
      <c r="E54" s="31"/>
      <c r="F54" s="31"/>
      <c r="G54" s="31"/>
      <c r="H54" s="31"/>
      <c r="I54" s="31"/>
      <c r="J54" s="27">
        <v>66079.0</v>
      </c>
      <c r="K54" s="33">
        <v>1.0</v>
      </c>
      <c r="L54" s="33">
        <v>1.0</v>
      </c>
      <c r="M54" s="34">
        <v>0.0</v>
      </c>
      <c r="N54" s="35">
        <f t="shared" si="4"/>
        <v>0</v>
      </c>
      <c r="O54" s="36">
        <f t="shared" si="5"/>
        <v>38</v>
      </c>
      <c r="P54" s="29">
        <v>0.0</v>
      </c>
      <c r="Q54" s="29">
        <v>0.0</v>
      </c>
      <c r="R54" s="34">
        <f t="shared" si="6"/>
        <v>0</v>
      </c>
      <c r="S54" s="35" t="str">
        <f t="shared" si="7"/>
        <v>-</v>
      </c>
      <c r="T54" s="36">
        <f t="shared" si="8"/>
        <v>38</v>
      </c>
      <c r="U54" s="29">
        <v>33.0</v>
      </c>
      <c r="V54" s="29">
        <v>51.0</v>
      </c>
      <c r="W54" s="29">
        <f t="shared" si="9"/>
        <v>18</v>
      </c>
      <c r="X54" s="35">
        <f t="shared" si="10"/>
        <v>0.5454545455</v>
      </c>
      <c r="Y54" s="36">
        <f t="shared" si="11"/>
        <v>41</v>
      </c>
      <c r="Z54" s="33">
        <v>40.0</v>
      </c>
      <c r="AA54" s="33">
        <v>153.0</v>
      </c>
      <c r="AB54" s="29">
        <f t="shared" si="12"/>
        <v>113</v>
      </c>
      <c r="AC54" s="35">
        <f t="shared" si="13"/>
        <v>2.825</v>
      </c>
      <c r="AD54" s="36">
        <f t="shared" si="14"/>
        <v>40</v>
      </c>
      <c r="AE54" s="29">
        <f t="shared" si="15"/>
        <v>39.75</v>
      </c>
      <c r="AF54" s="33">
        <f t="shared" ref="AF54:AG54" si="134">K54</f>
        <v>1</v>
      </c>
      <c r="AG54" s="33">
        <f t="shared" si="134"/>
        <v>1</v>
      </c>
      <c r="AH54" s="34">
        <f t="shared" si="17"/>
        <v>0</v>
      </c>
      <c r="AI54" s="35">
        <f t="shared" si="18"/>
        <v>0</v>
      </c>
      <c r="AJ54" s="33">
        <f t="shared" si="19"/>
        <v>0.1513340093</v>
      </c>
      <c r="AK54" s="36">
        <f t="shared" si="20"/>
        <v>40</v>
      </c>
      <c r="AL54" s="29">
        <f t="shared" ref="AL54:AM54" si="135">P54</f>
        <v>0</v>
      </c>
      <c r="AM54" s="29">
        <f t="shared" si="135"/>
        <v>0</v>
      </c>
      <c r="AN54" s="34">
        <f t="shared" si="22"/>
        <v>0</v>
      </c>
      <c r="AO54" s="35" t="str">
        <f t="shared" si="23"/>
        <v>-</v>
      </c>
      <c r="AP54" s="33">
        <f t="shared" si="24"/>
        <v>0</v>
      </c>
      <c r="AQ54" s="36">
        <f t="shared" si="25"/>
        <v>38</v>
      </c>
      <c r="AR54" s="29">
        <v>33.0</v>
      </c>
      <c r="AS54" s="29">
        <v>51.0</v>
      </c>
      <c r="AT54" s="29">
        <f t="shared" si="26"/>
        <v>18</v>
      </c>
      <c r="AU54" s="35">
        <f t="shared" si="27"/>
        <v>0.5454545455</v>
      </c>
      <c r="AV54" s="33">
        <f t="shared" si="28"/>
        <v>7.718034474</v>
      </c>
      <c r="AW54" s="33">
        <f t="shared" si="46"/>
        <v>4.100132599</v>
      </c>
      <c r="AX54" s="36">
        <f t="shared" si="29"/>
        <v>35</v>
      </c>
      <c r="AY54" s="33">
        <v>40.0</v>
      </c>
      <c r="AZ54" s="33">
        <v>153.0</v>
      </c>
      <c r="BA54" s="29">
        <f t="shared" si="30"/>
        <v>113</v>
      </c>
      <c r="BB54" s="35">
        <f t="shared" si="31"/>
        <v>2.825</v>
      </c>
      <c r="BC54" s="36">
        <f t="shared" si="32"/>
        <v>23.15410342</v>
      </c>
      <c r="BD54" s="33">
        <f t="shared" si="33"/>
        <v>4.136487525</v>
      </c>
      <c r="BE54" s="36">
        <f t="shared" si="34"/>
        <v>31</v>
      </c>
      <c r="BF54" s="29">
        <f t="shared" si="35"/>
        <v>34.8</v>
      </c>
      <c r="BH54" s="29">
        <f t="shared" si="47"/>
        <v>34.5</v>
      </c>
      <c r="BI54" s="1">
        <f t="shared" si="36"/>
        <v>33</v>
      </c>
      <c r="BJ54" s="1">
        <f t="shared" si="37"/>
        <v>4.118310062</v>
      </c>
      <c r="BK54" s="1">
        <f t="shared" si="38"/>
        <v>36</v>
      </c>
      <c r="BL54" s="3">
        <f t="shared" si="39"/>
        <v>2.724012167</v>
      </c>
      <c r="BM54" s="33">
        <f t="shared" si="40"/>
        <v>31</v>
      </c>
      <c r="BN54" s="3">
        <f t="shared" si="41"/>
        <v>17.10074305</v>
      </c>
      <c r="BO54" s="33">
        <f t="shared" si="42"/>
        <v>50</v>
      </c>
      <c r="BP54" s="1">
        <f t="shared" si="43"/>
        <v>40.5</v>
      </c>
    </row>
    <row r="55" ht="15.75" customHeight="1">
      <c r="C55" s="29"/>
      <c r="D55" s="30" t="s">
        <v>90</v>
      </c>
      <c r="E55" s="31"/>
      <c r="F55" s="31"/>
      <c r="G55" s="31"/>
      <c r="H55" s="31"/>
      <c r="I55" s="31"/>
      <c r="J55" s="27">
        <v>113140.0</v>
      </c>
      <c r="K55" s="33">
        <v>1.0</v>
      </c>
      <c r="L55" s="33">
        <v>1.0</v>
      </c>
      <c r="M55" s="34">
        <v>0.0</v>
      </c>
      <c r="N55" s="35">
        <f t="shared" si="4"/>
        <v>0</v>
      </c>
      <c r="O55" s="36">
        <f t="shared" si="5"/>
        <v>38</v>
      </c>
      <c r="P55" s="29">
        <v>5.0</v>
      </c>
      <c r="Q55" s="29">
        <v>0.0</v>
      </c>
      <c r="R55" s="34">
        <f t="shared" si="6"/>
        <v>-5</v>
      </c>
      <c r="S55" s="35">
        <f t="shared" si="7"/>
        <v>-1</v>
      </c>
      <c r="T55" s="36">
        <f t="shared" si="8"/>
        <v>38</v>
      </c>
      <c r="U55" s="29">
        <v>55.0</v>
      </c>
      <c r="V55" s="29">
        <v>62.0</v>
      </c>
      <c r="W55" s="29">
        <f t="shared" si="9"/>
        <v>7</v>
      </c>
      <c r="X55" s="35">
        <f t="shared" si="10"/>
        <v>0.1272727273</v>
      </c>
      <c r="Y55" s="36">
        <f t="shared" si="11"/>
        <v>38</v>
      </c>
      <c r="Z55" s="33">
        <v>160.0</v>
      </c>
      <c r="AA55" s="33">
        <v>222.0</v>
      </c>
      <c r="AB55" s="29">
        <f t="shared" si="12"/>
        <v>62</v>
      </c>
      <c r="AC55" s="35">
        <f t="shared" si="13"/>
        <v>0.3875</v>
      </c>
      <c r="AD55" s="36">
        <f t="shared" si="14"/>
        <v>36</v>
      </c>
      <c r="AE55" s="29">
        <f t="shared" si="15"/>
        <v>37.3</v>
      </c>
      <c r="AF55" s="33">
        <f t="shared" ref="AF55:AG55" si="136">K55</f>
        <v>1</v>
      </c>
      <c r="AG55" s="33">
        <f t="shared" si="136"/>
        <v>1</v>
      </c>
      <c r="AH55" s="34">
        <f t="shared" si="17"/>
        <v>0</v>
      </c>
      <c r="AI55" s="35">
        <f t="shared" si="18"/>
        <v>0</v>
      </c>
      <c r="AJ55" s="33">
        <f t="shared" si="19"/>
        <v>0.08838607036</v>
      </c>
      <c r="AK55" s="36">
        <f t="shared" si="20"/>
        <v>43</v>
      </c>
      <c r="AL55" s="29">
        <f t="shared" ref="AL55:AM55" si="137">P55</f>
        <v>5</v>
      </c>
      <c r="AM55" s="29">
        <f t="shared" si="137"/>
        <v>0</v>
      </c>
      <c r="AN55" s="34">
        <f t="shared" si="22"/>
        <v>-5</v>
      </c>
      <c r="AO55" s="35">
        <f t="shared" si="23"/>
        <v>-1</v>
      </c>
      <c r="AP55" s="33">
        <f t="shared" si="24"/>
        <v>0</v>
      </c>
      <c r="AQ55" s="36">
        <f t="shared" si="25"/>
        <v>38</v>
      </c>
      <c r="AR55" s="29">
        <v>55.0</v>
      </c>
      <c r="AS55" s="29">
        <v>62.0</v>
      </c>
      <c r="AT55" s="29">
        <f t="shared" si="26"/>
        <v>7</v>
      </c>
      <c r="AU55" s="35">
        <f t="shared" si="27"/>
        <v>0.1272727273</v>
      </c>
      <c r="AV55" s="33">
        <f t="shared" si="28"/>
        <v>5.479936362</v>
      </c>
      <c r="AW55" s="33">
        <f t="shared" si="46"/>
        <v>4.361078768</v>
      </c>
      <c r="AX55" s="36">
        <f t="shared" si="29"/>
        <v>41</v>
      </c>
      <c r="AY55" s="33">
        <v>160.0</v>
      </c>
      <c r="AZ55" s="33">
        <v>222.0</v>
      </c>
      <c r="BA55" s="29">
        <f t="shared" si="30"/>
        <v>62</v>
      </c>
      <c r="BB55" s="35">
        <f t="shared" si="31"/>
        <v>0.3875</v>
      </c>
      <c r="BC55" s="36">
        <f t="shared" si="32"/>
        <v>19.62170762</v>
      </c>
      <c r="BD55" s="33">
        <f t="shared" si="33"/>
        <v>4.268225204</v>
      </c>
      <c r="BE55" s="36">
        <f t="shared" si="34"/>
        <v>38</v>
      </c>
      <c r="BF55" s="29">
        <f t="shared" si="35"/>
        <v>39.8</v>
      </c>
      <c r="BH55" s="29">
        <f t="shared" si="47"/>
        <v>39.05</v>
      </c>
      <c r="BI55" s="1">
        <f t="shared" si="36"/>
        <v>39.5</v>
      </c>
      <c r="BJ55" s="1">
        <f t="shared" si="37"/>
        <v>4.314651986</v>
      </c>
      <c r="BK55" s="1">
        <f t="shared" si="38"/>
        <v>41</v>
      </c>
      <c r="BL55" s="3">
        <f t="shared" si="39"/>
        <v>0.6187024925</v>
      </c>
      <c r="BM55" s="33">
        <f t="shared" si="40"/>
        <v>17</v>
      </c>
      <c r="BN55" s="3">
        <f t="shared" si="41"/>
        <v>5.479936362</v>
      </c>
      <c r="BO55" s="33">
        <f t="shared" si="42"/>
        <v>44</v>
      </c>
      <c r="BP55" s="1">
        <f t="shared" si="43"/>
        <v>30.5</v>
      </c>
    </row>
    <row r="56" ht="15.75" customHeight="1">
      <c r="C56" s="29"/>
      <c r="D56" s="30" t="s">
        <v>91</v>
      </c>
      <c r="E56" s="31"/>
      <c r="F56" s="31"/>
      <c r="G56" s="31"/>
      <c r="H56" s="31"/>
      <c r="I56" s="31"/>
      <c r="J56" s="27">
        <v>21919.0</v>
      </c>
      <c r="K56" s="33">
        <v>13.0</v>
      </c>
      <c r="L56" s="33">
        <v>4.0</v>
      </c>
      <c r="M56" s="34">
        <v>-9.0</v>
      </c>
      <c r="N56" s="35">
        <f t="shared" si="4"/>
        <v>-0.6923076923</v>
      </c>
      <c r="O56" s="36">
        <f t="shared" si="5"/>
        <v>34</v>
      </c>
      <c r="P56" s="29">
        <v>1.0</v>
      </c>
      <c r="Q56" s="29">
        <v>0.0</v>
      </c>
      <c r="R56" s="34">
        <f t="shared" si="6"/>
        <v>-1</v>
      </c>
      <c r="S56" s="35">
        <f t="shared" si="7"/>
        <v>-1</v>
      </c>
      <c r="T56" s="36">
        <f t="shared" si="8"/>
        <v>38</v>
      </c>
      <c r="U56" s="29">
        <v>15.0</v>
      </c>
      <c r="V56" s="29">
        <v>23.0</v>
      </c>
      <c r="W56" s="29">
        <f t="shared" si="9"/>
        <v>8</v>
      </c>
      <c r="X56" s="35">
        <f t="shared" si="10"/>
        <v>0.5333333333</v>
      </c>
      <c r="Y56" s="36">
        <f t="shared" si="11"/>
        <v>46</v>
      </c>
      <c r="Z56" s="33">
        <v>46.0</v>
      </c>
      <c r="AA56" s="33">
        <v>52.0</v>
      </c>
      <c r="AB56" s="29">
        <f t="shared" si="12"/>
        <v>6</v>
      </c>
      <c r="AC56" s="35">
        <f t="shared" si="13"/>
        <v>0.1304347826</v>
      </c>
      <c r="AD56" s="36">
        <f t="shared" si="14"/>
        <v>51</v>
      </c>
      <c r="AE56" s="29">
        <f t="shared" si="15"/>
        <v>44.75</v>
      </c>
      <c r="AF56" s="33">
        <f t="shared" ref="AF56:AG56" si="138">K56</f>
        <v>13</v>
      </c>
      <c r="AG56" s="33">
        <f t="shared" si="138"/>
        <v>4</v>
      </c>
      <c r="AH56" s="34">
        <f t="shared" si="17"/>
        <v>-9</v>
      </c>
      <c r="AI56" s="35">
        <f t="shared" si="18"/>
        <v>-0.6923076923</v>
      </c>
      <c r="AJ56" s="33">
        <f t="shared" si="19"/>
        <v>1.824900771</v>
      </c>
      <c r="AK56" s="36">
        <f t="shared" si="20"/>
        <v>7</v>
      </c>
      <c r="AL56" s="29">
        <f t="shared" ref="AL56:AM56" si="139">P56</f>
        <v>1</v>
      </c>
      <c r="AM56" s="29">
        <f t="shared" si="139"/>
        <v>0</v>
      </c>
      <c r="AN56" s="34">
        <f t="shared" si="22"/>
        <v>-1</v>
      </c>
      <c r="AO56" s="35">
        <f t="shared" si="23"/>
        <v>-1</v>
      </c>
      <c r="AP56" s="33">
        <f t="shared" si="24"/>
        <v>0</v>
      </c>
      <c r="AQ56" s="36">
        <f t="shared" si="25"/>
        <v>38</v>
      </c>
      <c r="AR56" s="29">
        <v>15.0</v>
      </c>
      <c r="AS56" s="29">
        <v>23.0</v>
      </c>
      <c r="AT56" s="29">
        <f t="shared" si="26"/>
        <v>8</v>
      </c>
      <c r="AU56" s="35">
        <f t="shared" si="27"/>
        <v>0.5333333333</v>
      </c>
      <c r="AV56" s="33">
        <f t="shared" si="28"/>
        <v>10.49317943</v>
      </c>
      <c r="AW56" s="33">
        <f t="shared" si="46"/>
        <v>3.776570623</v>
      </c>
      <c r="AX56" s="36">
        <f t="shared" si="29"/>
        <v>23</v>
      </c>
      <c r="AY56" s="33">
        <v>46.0</v>
      </c>
      <c r="AZ56" s="33">
        <v>52.0</v>
      </c>
      <c r="BA56" s="29">
        <f t="shared" si="30"/>
        <v>6</v>
      </c>
      <c r="BB56" s="35">
        <f t="shared" si="31"/>
        <v>0.1304347826</v>
      </c>
      <c r="BC56" s="36">
        <f t="shared" si="32"/>
        <v>23.72371002</v>
      </c>
      <c r="BD56" s="33">
        <f t="shared" si="33"/>
        <v>4.115244534</v>
      </c>
      <c r="BE56" s="36">
        <f t="shared" si="34"/>
        <v>29</v>
      </c>
      <c r="BF56" s="29">
        <f t="shared" si="35"/>
        <v>24.95</v>
      </c>
      <c r="BH56" s="29">
        <f t="shared" si="47"/>
        <v>29</v>
      </c>
      <c r="BI56" s="1">
        <f t="shared" si="36"/>
        <v>26</v>
      </c>
      <c r="BJ56" s="1">
        <f t="shared" si="37"/>
        <v>3.945907579</v>
      </c>
      <c r="BK56" s="1">
        <f t="shared" si="38"/>
        <v>26</v>
      </c>
      <c r="BL56" s="3">
        <f t="shared" si="39"/>
        <v>3.649801542</v>
      </c>
      <c r="BM56" s="33">
        <f t="shared" si="40"/>
        <v>35</v>
      </c>
      <c r="BN56" s="3">
        <f t="shared" si="41"/>
        <v>2.737351157</v>
      </c>
      <c r="BO56" s="33">
        <f t="shared" si="42"/>
        <v>40</v>
      </c>
      <c r="BP56" s="1">
        <f t="shared" si="43"/>
        <v>37.5</v>
      </c>
    </row>
    <row r="57" ht="15.75" customHeight="1">
      <c r="C57" s="29"/>
      <c r="D57" s="30" t="s">
        <v>92</v>
      </c>
      <c r="E57" s="31"/>
      <c r="F57" s="31"/>
      <c r="G57" s="31"/>
      <c r="H57" s="31"/>
      <c r="I57" s="31"/>
      <c r="J57" s="27">
        <v>23475.0</v>
      </c>
      <c r="K57" s="33">
        <v>1.0</v>
      </c>
      <c r="L57" s="33">
        <v>1.0</v>
      </c>
      <c r="M57" s="34">
        <v>0.0</v>
      </c>
      <c r="N57" s="35">
        <f t="shared" si="4"/>
        <v>0</v>
      </c>
      <c r="O57" s="36">
        <f t="shared" si="5"/>
        <v>38</v>
      </c>
      <c r="P57" s="29">
        <v>6.0</v>
      </c>
      <c r="Q57" s="29">
        <v>3.0</v>
      </c>
      <c r="R57" s="34">
        <f t="shared" si="6"/>
        <v>-3</v>
      </c>
      <c r="S57" s="35">
        <f t="shared" si="7"/>
        <v>-0.5</v>
      </c>
      <c r="T57" s="36">
        <f t="shared" si="8"/>
        <v>30</v>
      </c>
      <c r="U57" s="29">
        <v>3.0</v>
      </c>
      <c r="V57" s="29">
        <v>15.0</v>
      </c>
      <c r="W57" s="29">
        <f t="shared" si="9"/>
        <v>12</v>
      </c>
      <c r="X57" s="35">
        <f t="shared" si="10"/>
        <v>4</v>
      </c>
      <c r="Y57" s="36">
        <f t="shared" si="11"/>
        <v>48</v>
      </c>
      <c r="Z57" s="33">
        <v>91.0</v>
      </c>
      <c r="AA57" s="33">
        <v>263.0</v>
      </c>
      <c r="AB57" s="29">
        <f t="shared" si="12"/>
        <v>172</v>
      </c>
      <c r="AC57" s="35">
        <f t="shared" si="13"/>
        <v>1.89010989</v>
      </c>
      <c r="AD57" s="36">
        <f t="shared" si="14"/>
        <v>33</v>
      </c>
      <c r="AE57" s="29">
        <f t="shared" si="15"/>
        <v>38.55</v>
      </c>
      <c r="AF57" s="33">
        <f t="shared" ref="AF57:AG57" si="140">K57</f>
        <v>1</v>
      </c>
      <c r="AG57" s="33">
        <f t="shared" si="140"/>
        <v>1</v>
      </c>
      <c r="AH57" s="34">
        <f t="shared" si="17"/>
        <v>0</v>
      </c>
      <c r="AI57" s="35">
        <f t="shared" si="18"/>
        <v>0</v>
      </c>
      <c r="AJ57" s="33">
        <f t="shared" si="19"/>
        <v>0.4259850905</v>
      </c>
      <c r="AK57" s="36">
        <f t="shared" si="20"/>
        <v>33</v>
      </c>
      <c r="AL57" s="29">
        <f t="shared" ref="AL57:AM57" si="141">P57</f>
        <v>6</v>
      </c>
      <c r="AM57" s="29">
        <f t="shared" si="141"/>
        <v>3</v>
      </c>
      <c r="AN57" s="34">
        <f t="shared" si="22"/>
        <v>-3</v>
      </c>
      <c r="AO57" s="35">
        <f t="shared" si="23"/>
        <v>-0.5</v>
      </c>
      <c r="AP57" s="33">
        <f t="shared" si="24"/>
        <v>1.277955272</v>
      </c>
      <c r="AQ57" s="36">
        <f t="shared" si="25"/>
        <v>11</v>
      </c>
      <c r="AR57" s="29">
        <v>3.0</v>
      </c>
      <c r="AS57" s="29">
        <v>15.0</v>
      </c>
      <c r="AT57" s="29">
        <f t="shared" si="26"/>
        <v>12</v>
      </c>
      <c r="AU57" s="35">
        <f t="shared" si="27"/>
        <v>4</v>
      </c>
      <c r="AV57" s="33">
        <f t="shared" si="28"/>
        <v>6.389776358</v>
      </c>
      <c r="AW57" s="33">
        <f t="shared" si="46"/>
        <v>4.254997958</v>
      </c>
      <c r="AX57" s="36">
        <f t="shared" si="29"/>
        <v>38</v>
      </c>
      <c r="AY57" s="33">
        <v>91.0</v>
      </c>
      <c r="AZ57" s="33">
        <v>263.0</v>
      </c>
      <c r="BA57" s="29">
        <f t="shared" si="30"/>
        <v>172</v>
      </c>
      <c r="BB57" s="35">
        <f t="shared" si="31"/>
        <v>1.89010989</v>
      </c>
      <c r="BC57" s="36">
        <f t="shared" si="32"/>
        <v>112.0340788</v>
      </c>
      <c r="BD57" s="33">
        <f t="shared" si="33"/>
        <v>0.821784893</v>
      </c>
      <c r="BE57" s="36">
        <f t="shared" si="34"/>
        <v>4</v>
      </c>
      <c r="BF57" s="29">
        <f t="shared" si="35"/>
        <v>21.3</v>
      </c>
      <c r="BH57" s="29">
        <f t="shared" si="47"/>
        <v>24.9</v>
      </c>
      <c r="BI57" s="1">
        <f t="shared" si="36"/>
        <v>21</v>
      </c>
      <c r="BJ57" s="1">
        <f t="shared" si="37"/>
        <v>2.538391425</v>
      </c>
      <c r="BK57" s="1">
        <f t="shared" si="38"/>
        <v>7</v>
      </c>
      <c r="BL57" s="3">
        <f t="shared" si="39"/>
        <v>5.111821086</v>
      </c>
      <c r="BM57" s="33">
        <f t="shared" si="40"/>
        <v>43</v>
      </c>
      <c r="BN57" s="3">
        <f t="shared" si="41"/>
        <v>73.26943557</v>
      </c>
      <c r="BO57" s="33">
        <f t="shared" si="42"/>
        <v>55</v>
      </c>
      <c r="BP57" s="1">
        <f t="shared" si="43"/>
        <v>49</v>
      </c>
    </row>
    <row r="58" ht="15.75" customHeight="1">
      <c r="C58" s="29"/>
      <c r="D58" s="30" t="s">
        <v>93</v>
      </c>
      <c r="E58" s="31"/>
      <c r="F58" s="31"/>
      <c r="G58" s="31"/>
      <c r="H58" s="31"/>
      <c r="I58" s="31"/>
      <c r="J58" s="27">
        <v>29700.0</v>
      </c>
      <c r="K58" s="33">
        <v>0.0</v>
      </c>
      <c r="L58" s="33">
        <v>0.0</v>
      </c>
      <c r="M58" s="34">
        <v>0.0</v>
      </c>
      <c r="N58" s="35" t="str">
        <f t="shared" si="4"/>
        <v>-</v>
      </c>
      <c r="O58" s="36">
        <f t="shared" si="5"/>
        <v>47</v>
      </c>
      <c r="P58" s="29">
        <v>1.0</v>
      </c>
      <c r="Q58" s="29">
        <v>0.0</v>
      </c>
      <c r="R58" s="34">
        <f t="shared" si="6"/>
        <v>-1</v>
      </c>
      <c r="S58" s="35">
        <f t="shared" si="7"/>
        <v>-1</v>
      </c>
      <c r="T58" s="36">
        <f t="shared" si="8"/>
        <v>38</v>
      </c>
      <c r="U58" s="29">
        <v>11.0</v>
      </c>
      <c r="V58" s="29">
        <v>21.0</v>
      </c>
      <c r="W58" s="29">
        <f t="shared" si="9"/>
        <v>10</v>
      </c>
      <c r="X58" s="35">
        <f t="shared" si="10"/>
        <v>0.9090909091</v>
      </c>
      <c r="Y58" s="36">
        <f t="shared" si="11"/>
        <v>47</v>
      </c>
      <c r="Z58" s="33">
        <v>144.0</v>
      </c>
      <c r="AA58" s="33">
        <v>74.0</v>
      </c>
      <c r="AB58" s="29">
        <f t="shared" si="12"/>
        <v>-70</v>
      </c>
      <c r="AC58" s="35">
        <f t="shared" si="13"/>
        <v>-0.4861111111</v>
      </c>
      <c r="AD58" s="36">
        <f t="shared" si="14"/>
        <v>46</v>
      </c>
      <c r="AE58" s="29">
        <f t="shared" si="15"/>
        <v>45.3</v>
      </c>
      <c r="AF58" s="33">
        <f t="shared" ref="AF58:AG58" si="142">K58</f>
        <v>0</v>
      </c>
      <c r="AG58" s="33">
        <f t="shared" si="142"/>
        <v>0</v>
      </c>
      <c r="AH58" s="34">
        <f t="shared" si="17"/>
        <v>0</v>
      </c>
      <c r="AI58" s="35" t="str">
        <f t="shared" si="18"/>
        <v>-</v>
      </c>
      <c r="AJ58" s="33">
        <f t="shared" si="19"/>
        <v>0</v>
      </c>
      <c r="AK58" s="36">
        <f t="shared" si="20"/>
        <v>47</v>
      </c>
      <c r="AL58" s="29">
        <f t="shared" ref="AL58:AM58" si="143">P58</f>
        <v>1</v>
      </c>
      <c r="AM58" s="29">
        <f t="shared" si="143"/>
        <v>0</v>
      </c>
      <c r="AN58" s="34">
        <f t="shared" si="22"/>
        <v>-1</v>
      </c>
      <c r="AO58" s="35">
        <f t="shared" si="23"/>
        <v>-1</v>
      </c>
      <c r="AP58" s="33">
        <f t="shared" si="24"/>
        <v>0</v>
      </c>
      <c r="AQ58" s="36">
        <f t="shared" si="25"/>
        <v>38</v>
      </c>
      <c r="AR58" s="29">
        <v>11.0</v>
      </c>
      <c r="AS58" s="29">
        <v>21.0</v>
      </c>
      <c r="AT58" s="29">
        <f t="shared" si="26"/>
        <v>10</v>
      </c>
      <c r="AU58" s="35">
        <f t="shared" si="27"/>
        <v>0.9090909091</v>
      </c>
      <c r="AV58" s="33">
        <f t="shared" si="28"/>
        <v>7.070707071</v>
      </c>
      <c r="AW58" s="33">
        <f t="shared" si="46"/>
        <v>4.175606326</v>
      </c>
      <c r="AX58" s="36">
        <f t="shared" si="29"/>
        <v>37</v>
      </c>
      <c r="AY58" s="33">
        <v>144.0</v>
      </c>
      <c r="AZ58" s="33">
        <v>74.0</v>
      </c>
      <c r="BA58" s="29">
        <f t="shared" si="30"/>
        <v>-70</v>
      </c>
      <c r="BB58" s="35">
        <f t="shared" si="31"/>
        <v>-0.4861111111</v>
      </c>
      <c r="BC58" s="36">
        <f t="shared" si="32"/>
        <v>24.91582492</v>
      </c>
      <c r="BD58" s="33">
        <f t="shared" si="33"/>
        <v>4.070785629</v>
      </c>
      <c r="BE58" s="36">
        <f t="shared" si="34"/>
        <v>27</v>
      </c>
      <c r="BF58" s="29">
        <f t="shared" si="35"/>
        <v>35.15</v>
      </c>
      <c r="BH58" s="29">
        <f t="shared" si="47"/>
        <v>35.15</v>
      </c>
      <c r="BI58" s="1">
        <f t="shared" si="36"/>
        <v>32</v>
      </c>
      <c r="BJ58" s="1">
        <f t="shared" si="37"/>
        <v>4.123195977</v>
      </c>
      <c r="BK58" s="1">
        <f t="shared" si="38"/>
        <v>37</v>
      </c>
      <c r="BL58" s="3">
        <f t="shared" si="39"/>
        <v>3.367003367</v>
      </c>
      <c r="BM58" s="33">
        <f t="shared" si="40"/>
        <v>34</v>
      </c>
      <c r="BN58" s="3">
        <f t="shared" si="41"/>
        <v>-23.56902357</v>
      </c>
      <c r="BO58" s="33">
        <f t="shared" si="42"/>
        <v>9</v>
      </c>
      <c r="BP58" s="1">
        <f t="shared" si="43"/>
        <v>21.5</v>
      </c>
    </row>
    <row r="59" ht="15.75" customHeight="1">
      <c r="C59" s="29"/>
      <c r="D59" s="30" t="s">
        <v>94</v>
      </c>
      <c r="E59" s="31"/>
      <c r="F59" s="31"/>
      <c r="G59" s="31"/>
      <c r="H59" s="31"/>
      <c r="I59" s="31"/>
      <c r="J59" s="27">
        <v>28401.0</v>
      </c>
      <c r="K59" s="33">
        <v>0.0</v>
      </c>
      <c r="L59" s="33">
        <v>0.0</v>
      </c>
      <c r="M59" s="34">
        <v>0.0</v>
      </c>
      <c r="N59" s="35" t="str">
        <f t="shared" si="4"/>
        <v>-</v>
      </c>
      <c r="O59" s="36">
        <f t="shared" si="5"/>
        <v>47</v>
      </c>
      <c r="P59" s="29">
        <v>0.0</v>
      </c>
      <c r="Q59" s="29">
        <v>0.0</v>
      </c>
      <c r="R59" s="34">
        <f t="shared" si="6"/>
        <v>0</v>
      </c>
      <c r="S59" s="35" t="str">
        <f t="shared" si="7"/>
        <v>-</v>
      </c>
      <c r="T59" s="36">
        <f t="shared" si="8"/>
        <v>38</v>
      </c>
      <c r="U59" s="29">
        <v>1.0</v>
      </c>
      <c r="V59" s="29">
        <v>0.0</v>
      </c>
      <c r="W59" s="29">
        <f t="shared" si="9"/>
        <v>-1</v>
      </c>
      <c r="X59" s="35">
        <f t="shared" si="10"/>
        <v>-1</v>
      </c>
      <c r="Y59" s="36">
        <f t="shared" si="11"/>
        <v>54</v>
      </c>
      <c r="Z59" s="33">
        <v>6.0</v>
      </c>
      <c r="AA59" s="33">
        <v>3.0</v>
      </c>
      <c r="AB59" s="29">
        <f t="shared" si="12"/>
        <v>-3</v>
      </c>
      <c r="AC59" s="35">
        <f t="shared" si="13"/>
        <v>-0.5</v>
      </c>
      <c r="AD59" s="36">
        <f t="shared" si="14"/>
        <v>53</v>
      </c>
      <c r="AE59" s="29">
        <f t="shared" si="15"/>
        <v>50.2</v>
      </c>
      <c r="AF59" s="33">
        <f t="shared" ref="AF59:AG59" si="144">K59</f>
        <v>0</v>
      </c>
      <c r="AG59" s="33">
        <f t="shared" si="144"/>
        <v>0</v>
      </c>
      <c r="AH59" s="34">
        <f t="shared" si="17"/>
        <v>0</v>
      </c>
      <c r="AI59" s="35" t="str">
        <f t="shared" si="18"/>
        <v>-</v>
      </c>
      <c r="AJ59" s="33">
        <f t="shared" si="19"/>
        <v>0</v>
      </c>
      <c r="AK59" s="36">
        <f t="shared" si="20"/>
        <v>47</v>
      </c>
      <c r="AL59" s="29">
        <f t="shared" ref="AL59:AM59" si="145">P59</f>
        <v>0</v>
      </c>
      <c r="AM59" s="29">
        <f t="shared" si="145"/>
        <v>0</v>
      </c>
      <c r="AN59" s="34">
        <f t="shared" si="22"/>
        <v>0</v>
      </c>
      <c r="AO59" s="35" t="str">
        <f t="shared" si="23"/>
        <v>-</v>
      </c>
      <c r="AP59" s="33">
        <f t="shared" si="24"/>
        <v>0</v>
      </c>
      <c r="AQ59" s="36">
        <f t="shared" si="25"/>
        <v>38</v>
      </c>
      <c r="AR59" s="29">
        <v>1.0</v>
      </c>
      <c r="AS59" s="29">
        <v>0.0</v>
      </c>
      <c r="AT59" s="29">
        <f t="shared" si="26"/>
        <v>-1</v>
      </c>
      <c r="AU59" s="35">
        <f t="shared" si="27"/>
        <v>-1</v>
      </c>
      <c r="AV59" s="33">
        <f t="shared" si="28"/>
        <v>0</v>
      </c>
      <c r="AW59" s="33">
        <f t="shared" si="46"/>
        <v>5</v>
      </c>
      <c r="AX59" s="36">
        <f t="shared" si="29"/>
        <v>54</v>
      </c>
      <c r="AY59" s="33">
        <v>6.0</v>
      </c>
      <c r="AZ59" s="33">
        <v>3.0</v>
      </c>
      <c r="BA59" s="29">
        <f t="shared" si="30"/>
        <v>-3</v>
      </c>
      <c r="BB59" s="35">
        <f t="shared" si="31"/>
        <v>-0.5</v>
      </c>
      <c r="BC59" s="36">
        <f t="shared" si="32"/>
        <v>1.056300834</v>
      </c>
      <c r="BD59" s="33">
        <f t="shared" si="33"/>
        <v>4.960606164</v>
      </c>
      <c r="BE59" s="36">
        <f t="shared" si="34"/>
        <v>55</v>
      </c>
      <c r="BF59" s="29">
        <f t="shared" si="35"/>
        <v>50.9</v>
      </c>
      <c r="BH59" s="29">
        <f t="shared" si="47"/>
        <v>50.9</v>
      </c>
      <c r="BI59" s="1">
        <f t="shared" si="36"/>
        <v>54.5</v>
      </c>
      <c r="BJ59" s="1">
        <f t="shared" si="37"/>
        <v>4.980303082</v>
      </c>
      <c r="BK59" s="1">
        <f t="shared" si="38"/>
        <v>54</v>
      </c>
      <c r="BL59" s="3">
        <f t="shared" si="39"/>
        <v>-0.3521002782</v>
      </c>
      <c r="BM59" s="33">
        <f t="shared" si="40"/>
        <v>11</v>
      </c>
      <c r="BN59" s="3">
        <f t="shared" si="41"/>
        <v>-1.056300834</v>
      </c>
      <c r="BO59" s="33">
        <f t="shared" si="42"/>
        <v>32</v>
      </c>
      <c r="BP59" s="1">
        <f t="shared" si="43"/>
        <v>21.5</v>
      </c>
    </row>
    <row r="60" ht="15.75" customHeight="1">
      <c r="C60" s="29"/>
      <c r="D60" s="30" t="s">
        <v>95</v>
      </c>
      <c r="E60" s="31"/>
      <c r="F60" s="31"/>
      <c r="G60" s="31"/>
      <c r="H60" s="31"/>
      <c r="I60" s="31"/>
      <c r="J60" s="27">
        <v>2063.0</v>
      </c>
      <c r="K60" s="33">
        <v>0.0</v>
      </c>
      <c r="L60" s="33">
        <v>0.0</v>
      </c>
      <c r="M60" s="34">
        <v>0.0</v>
      </c>
      <c r="N60" s="35" t="str">
        <f t="shared" si="4"/>
        <v>-</v>
      </c>
      <c r="O60" s="36">
        <f t="shared" si="5"/>
        <v>47</v>
      </c>
      <c r="P60" s="29">
        <v>0.0</v>
      </c>
      <c r="Q60" s="29">
        <v>0.0</v>
      </c>
      <c r="R60" s="34">
        <f t="shared" si="6"/>
        <v>0</v>
      </c>
      <c r="S60" s="35" t="str">
        <f t="shared" si="7"/>
        <v>-</v>
      </c>
      <c r="T60" s="36">
        <f t="shared" si="8"/>
        <v>38</v>
      </c>
      <c r="U60" s="29">
        <v>0.0</v>
      </c>
      <c r="V60" s="29">
        <v>0.0</v>
      </c>
      <c r="W60" s="29">
        <f t="shared" si="9"/>
        <v>0</v>
      </c>
      <c r="X60" s="35" t="str">
        <f t="shared" si="10"/>
        <v>-</v>
      </c>
      <c r="Y60" s="36">
        <f t="shared" si="11"/>
        <v>54</v>
      </c>
      <c r="Z60" s="33">
        <v>0.0</v>
      </c>
      <c r="AA60" s="33">
        <v>0.0</v>
      </c>
      <c r="AB60" s="29">
        <f t="shared" si="12"/>
        <v>0</v>
      </c>
      <c r="AC60" s="35" t="str">
        <f t="shared" si="13"/>
        <v>-</v>
      </c>
      <c r="AD60" s="36">
        <f t="shared" si="14"/>
        <v>56</v>
      </c>
      <c r="AE60" s="29">
        <f t="shared" si="15"/>
        <v>51.25</v>
      </c>
      <c r="AF60" s="33">
        <f t="shared" ref="AF60:AG60" si="146">K60</f>
        <v>0</v>
      </c>
      <c r="AG60" s="33">
        <f t="shared" si="146"/>
        <v>0</v>
      </c>
      <c r="AH60" s="34">
        <f t="shared" si="17"/>
        <v>0</v>
      </c>
      <c r="AI60" s="35" t="str">
        <f t="shared" si="18"/>
        <v>-</v>
      </c>
      <c r="AJ60" s="33">
        <f t="shared" si="19"/>
        <v>0</v>
      </c>
      <c r="AK60" s="36">
        <f t="shared" si="20"/>
        <v>47</v>
      </c>
      <c r="AL60" s="29">
        <f t="shared" ref="AL60:AM60" si="147">P60</f>
        <v>0</v>
      </c>
      <c r="AM60" s="29">
        <f t="shared" si="147"/>
        <v>0</v>
      </c>
      <c r="AN60" s="34">
        <f t="shared" si="22"/>
        <v>0</v>
      </c>
      <c r="AO60" s="35" t="str">
        <f t="shared" si="23"/>
        <v>-</v>
      </c>
      <c r="AP60" s="33">
        <f t="shared" si="24"/>
        <v>0</v>
      </c>
      <c r="AQ60" s="36">
        <f t="shared" si="25"/>
        <v>38</v>
      </c>
      <c r="AR60" s="29">
        <v>0.0</v>
      </c>
      <c r="AS60" s="29">
        <v>0.0</v>
      </c>
      <c r="AT60" s="29">
        <f t="shared" si="26"/>
        <v>0</v>
      </c>
      <c r="AU60" s="35" t="str">
        <f t="shared" si="27"/>
        <v>-</v>
      </c>
      <c r="AV60" s="33">
        <f t="shared" si="28"/>
        <v>0</v>
      </c>
      <c r="AW60" s="33">
        <f t="shared" si="46"/>
        <v>5</v>
      </c>
      <c r="AX60" s="36">
        <f t="shared" si="29"/>
        <v>54</v>
      </c>
      <c r="AY60" s="33">
        <v>0.0</v>
      </c>
      <c r="AZ60" s="33">
        <v>0.0</v>
      </c>
      <c r="BA60" s="29">
        <f t="shared" si="30"/>
        <v>0</v>
      </c>
      <c r="BB60" s="35" t="str">
        <f t="shared" si="31"/>
        <v>-</v>
      </c>
      <c r="BC60" s="36">
        <f t="shared" si="32"/>
        <v>0</v>
      </c>
      <c r="BD60" s="33">
        <f t="shared" si="33"/>
        <v>5</v>
      </c>
      <c r="BE60" s="36">
        <f t="shared" si="34"/>
        <v>56</v>
      </c>
      <c r="BF60" s="29">
        <f t="shared" si="35"/>
        <v>51.25</v>
      </c>
      <c r="BH60" s="29">
        <f t="shared" si="47"/>
        <v>51.25</v>
      </c>
      <c r="BI60" s="1">
        <f t="shared" si="36"/>
        <v>55</v>
      </c>
      <c r="BJ60" s="1">
        <f t="shared" si="37"/>
        <v>5</v>
      </c>
      <c r="BK60" s="1">
        <f t="shared" si="38"/>
        <v>55</v>
      </c>
      <c r="BL60" s="3">
        <f t="shared" si="39"/>
        <v>0</v>
      </c>
      <c r="BM60" s="33">
        <f t="shared" si="40"/>
        <v>15</v>
      </c>
      <c r="BN60" s="3">
        <f t="shared" si="41"/>
        <v>0</v>
      </c>
      <c r="BO60" s="33">
        <f t="shared" si="42"/>
        <v>33</v>
      </c>
      <c r="BP60" s="1">
        <f t="shared" si="43"/>
        <v>24</v>
      </c>
    </row>
    <row r="61" ht="15.75" customHeight="1">
      <c r="C61" s="29"/>
      <c r="D61" s="30" t="s">
        <v>96</v>
      </c>
      <c r="E61" s="31"/>
      <c r="F61" s="31"/>
      <c r="G61" s="31"/>
      <c r="H61" s="31"/>
      <c r="I61" s="31"/>
      <c r="J61" s="27">
        <v>7620.0</v>
      </c>
      <c r="K61" s="33">
        <v>0.0</v>
      </c>
      <c r="L61" s="33">
        <v>0.0</v>
      </c>
      <c r="M61" s="34">
        <f t="shared" ref="M61:M63" si="150">L61-K61</f>
        <v>0</v>
      </c>
      <c r="N61" s="35" t="str">
        <f t="shared" si="4"/>
        <v>-</v>
      </c>
      <c r="O61" s="36">
        <f t="shared" si="5"/>
        <v>47</v>
      </c>
      <c r="P61" s="29">
        <v>0.0</v>
      </c>
      <c r="Q61" s="29">
        <v>0.0</v>
      </c>
      <c r="R61" s="34">
        <f t="shared" si="6"/>
        <v>0</v>
      </c>
      <c r="S61" s="35" t="str">
        <f t="shared" si="7"/>
        <v>-</v>
      </c>
      <c r="T61" s="36">
        <f t="shared" si="8"/>
        <v>38</v>
      </c>
      <c r="U61" s="29">
        <v>0.0</v>
      </c>
      <c r="V61" s="29">
        <v>2.0</v>
      </c>
      <c r="W61" s="29">
        <f t="shared" si="9"/>
        <v>2</v>
      </c>
      <c r="X61" s="35" t="str">
        <f t="shared" si="10"/>
        <v>-</v>
      </c>
      <c r="Y61" s="36">
        <f t="shared" si="11"/>
        <v>53</v>
      </c>
      <c r="Z61" s="33">
        <v>0.0</v>
      </c>
      <c r="AA61" s="33">
        <v>1.0</v>
      </c>
      <c r="AB61" s="29">
        <f t="shared" si="12"/>
        <v>1</v>
      </c>
      <c r="AC61" s="35" t="str">
        <f t="shared" si="13"/>
        <v>-</v>
      </c>
      <c r="AD61" s="36">
        <f t="shared" si="14"/>
        <v>55</v>
      </c>
      <c r="AE61" s="29">
        <f t="shared" si="15"/>
        <v>50.55</v>
      </c>
      <c r="AF61" s="33">
        <f t="shared" ref="AF61:AG61" si="148">K61</f>
        <v>0</v>
      </c>
      <c r="AG61" s="33">
        <f t="shared" si="148"/>
        <v>0</v>
      </c>
      <c r="AH61" s="34">
        <f t="shared" si="17"/>
        <v>0</v>
      </c>
      <c r="AI61" s="35" t="str">
        <f t="shared" si="18"/>
        <v>-</v>
      </c>
      <c r="AJ61" s="33">
        <f t="shared" si="19"/>
        <v>0</v>
      </c>
      <c r="AK61" s="36">
        <f t="shared" si="20"/>
        <v>47</v>
      </c>
      <c r="AL61" s="29">
        <f t="shared" ref="AL61:AM61" si="149">P61</f>
        <v>0</v>
      </c>
      <c r="AM61" s="29">
        <f t="shared" si="149"/>
        <v>0</v>
      </c>
      <c r="AN61" s="34">
        <f t="shared" si="22"/>
        <v>0</v>
      </c>
      <c r="AO61" s="35" t="str">
        <f t="shared" si="23"/>
        <v>-</v>
      </c>
      <c r="AP61" s="33">
        <f t="shared" si="24"/>
        <v>0</v>
      </c>
      <c r="AQ61" s="36">
        <f t="shared" si="25"/>
        <v>38</v>
      </c>
      <c r="AR61" s="29">
        <v>0.0</v>
      </c>
      <c r="AS61" s="29">
        <v>2.0</v>
      </c>
      <c r="AT61" s="29">
        <f t="shared" si="26"/>
        <v>2</v>
      </c>
      <c r="AU61" s="35" t="str">
        <f t="shared" si="27"/>
        <v>-</v>
      </c>
      <c r="AV61" s="33">
        <f t="shared" si="28"/>
        <v>2.624671916</v>
      </c>
      <c r="AW61" s="33">
        <f t="shared" si="46"/>
        <v>4.693982101</v>
      </c>
      <c r="AX61" s="36">
        <f t="shared" si="29"/>
        <v>50</v>
      </c>
      <c r="AY61" s="33">
        <v>0.0</v>
      </c>
      <c r="AZ61" s="33">
        <v>1.0</v>
      </c>
      <c r="BA61" s="29">
        <f t="shared" si="30"/>
        <v>1</v>
      </c>
      <c r="BB61" s="35" t="str">
        <f t="shared" si="31"/>
        <v>-</v>
      </c>
      <c r="BC61" s="36">
        <f t="shared" si="32"/>
        <v>1.312335958</v>
      </c>
      <c r="BD61" s="33">
        <f t="shared" si="33"/>
        <v>4.951057553</v>
      </c>
      <c r="BE61" s="36">
        <f t="shared" si="34"/>
        <v>54</v>
      </c>
      <c r="BF61" s="29">
        <f t="shared" si="35"/>
        <v>49.15</v>
      </c>
      <c r="BH61" s="29">
        <f t="shared" si="47"/>
        <v>49.15</v>
      </c>
      <c r="BI61" s="1">
        <f t="shared" si="36"/>
        <v>52</v>
      </c>
      <c r="BJ61" s="1">
        <f t="shared" si="37"/>
        <v>4.822519827</v>
      </c>
      <c r="BK61" s="1">
        <f t="shared" si="38"/>
        <v>53</v>
      </c>
      <c r="BL61" s="3">
        <f t="shared" si="39"/>
        <v>2.624671916</v>
      </c>
      <c r="BM61" s="33">
        <f t="shared" si="40"/>
        <v>30</v>
      </c>
      <c r="BN61" s="3">
        <f t="shared" si="41"/>
        <v>1.312335958</v>
      </c>
      <c r="BO61" s="33">
        <f t="shared" si="42"/>
        <v>36</v>
      </c>
      <c r="BP61" s="1">
        <f t="shared" si="43"/>
        <v>33</v>
      </c>
    </row>
    <row r="62" ht="15.75" customHeight="1">
      <c r="C62" s="29"/>
      <c r="D62" s="30" t="s">
        <v>97</v>
      </c>
      <c r="E62" s="31"/>
      <c r="F62" s="31"/>
      <c r="G62" s="31"/>
      <c r="H62" s="31"/>
      <c r="I62" s="31"/>
      <c r="J62" s="27">
        <v>44402.0</v>
      </c>
      <c r="K62" s="33">
        <v>0.0</v>
      </c>
      <c r="L62" s="33">
        <v>0.0</v>
      </c>
      <c r="M62" s="34">
        <f t="shared" si="150"/>
        <v>0</v>
      </c>
      <c r="N62" s="35" t="str">
        <f t="shared" si="4"/>
        <v>-</v>
      </c>
      <c r="O62" s="36">
        <f t="shared" si="5"/>
        <v>47</v>
      </c>
      <c r="P62" s="29">
        <v>0.0</v>
      </c>
      <c r="Q62" s="29">
        <v>0.0</v>
      </c>
      <c r="R62" s="34">
        <f t="shared" si="6"/>
        <v>0</v>
      </c>
      <c r="S62" s="35" t="str">
        <f t="shared" si="7"/>
        <v>-</v>
      </c>
      <c r="T62" s="36">
        <f t="shared" si="8"/>
        <v>38</v>
      </c>
      <c r="U62" s="29">
        <v>0.0</v>
      </c>
      <c r="V62" s="29">
        <v>11.0</v>
      </c>
      <c r="W62" s="29">
        <f t="shared" si="9"/>
        <v>11</v>
      </c>
      <c r="X62" s="35" t="str">
        <f t="shared" si="10"/>
        <v>-</v>
      </c>
      <c r="Y62" s="36">
        <f t="shared" si="11"/>
        <v>51</v>
      </c>
      <c r="Z62" s="33">
        <v>70.0</v>
      </c>
      <c r="AA62" s="33">
        <v>58.0</v>
      </c>
      <c r="AB62" s="29">
        <f t="shared" si="12"/>
        <v>-12</v>
      </c>
      <c r="AC62" s="35">
        <f t="shared" si="13"/>
        <v>-0.1714285714</v>
      </c>
      <c r="AD62" s="36">
        <f t="shared" si="14"/>
        <v>49</v>
      </c>
      <c r="AE62" s="29">
        <f t="shared" si="15"/>
        <v>47.75</v>
      </c>
      <c r="AF62" s="33">
        <f t="shared" ref="AF62:AG62" si="151">K62</f>
        <v>0</v>
      </c>
      <c r="AG62" s="33">
        <f t="shared" si="151"/>
        <v>0</v>
      </c>
      <c r="AH62" s="34">
        <f t="shared" si="17"/>
        <v>0</v>
      </c>
      <c r="AI62" s="35" t="str">
        <f t="shared" si="18"/>
        <v>-</v>
      </c>
      <c r="AJ62" s="33">
        <f t="shared" si="19"/>
        <v>0</v>
      </c>
      <c r="AK62" s="36">
        <f t="shared" si="20"/>
        <v>47</v>
      </c>
      <c r="AL62" s="29">
        <f t="shared" ref="AL62:AM62" si="152">P62</f>
        <v>0</v>
      </c>
      <c r="AM62" s="29">
        <f t="shared" si="152"/>
        <v>0</v>
      </c>
      <c r="AN62" s="34">
        <f t="shared" si="22"/>
        <v>0</v>
      </c>
      <c r="AO62" s="35" t="str">
        <f t="shared" si="23"/>
        <v>-</v>
      </c>
      <c r="AP62" s="33">
        <f t="shared" si="24"/>
        <v>0</v>
      </c>
      <c r="AQ62" s="36">
        <f t="shared" si="25"/>
        <v>38</v>
      </c>
      <c r="AR62" s="29">
        <v>0.0</v>
      </c>
      <c r="AS62" s="29">
        <v>11.0</v>
      </c>
      <c r="AT62" s="29">
        <f t="shared" si="26"/>
        <v>11</v>
      </c>
      <c r="AU62" s="35" t="str">
        <f t="shared" si="27"/>
        <v>-</v>
      </c>
      <c r="AV62" s="33">
        <f t="shared" si="28"/>
        <v>2.477365884</v>
      </c>
      <c r="AW62" s="33">
        <f t="shared" si="46"/>
        <v>4.711156926</v>
      </c>
      <c r="AX62" s="36">
        <f t="shared" si="29"/>
        <v>51</v>
      </c>
      <c r="AY62" s="33">
        <v>70.0</v>
      </c>
      <c r="AZ62" s="33">
        <v>58.0</v>
      </c>
      <c r="BA62" s="29">
        <f t="shared" si="30"/>
        <v>-12</v>
      </c>
      <c r="BB62" s="35">
        <f t="shared" si="31"/>
        <v>-0.1714285714</v>
      </c>
      <c r="BC62" s="36">
        <f t="shared" si="32"/>
        <v>13.06247466</v>
      </c>
      <c r="BD62" s="33">
        <f t="shared" si="33"/>
        <v>4.512846184</v>
      </c>
      <c r="BE62" s="36">
        <f t="shared" si="34"/>
        <v>45</v>
      </c>
      <c r="BF62" s="29">
        <f t="shared" si="35"/>
        <v>46.35</v>
      </c>
      <c r="BH62" s="29">
        <f t="shared" si="47"/>
        <v>46.35</v>
      </c>
      <c r="BI62" s="1">
        <f t="shared" si="36"/>
        <v>48</v>
      </c>
      <c r="BJ62" s="1">
        <f t="shared" si="37"/>
        <v>4.612001555</v>
      </c>
      <c r="BK62" s="1">
        <f t="shared" si="38"/>
        <v>47</v>
      </c>
      <c r="BL62" s="3">
        <f t="shared" si="39"/>
        <v>2.477365884</v>
      </c>
      <c r="BM62" s="33">
        <f t="shared" si="40"/>
        <v>28</v>
      </c>
      <c r="BN62" s="3">
        <f t="shared" si="41"/>
        <v>-2.702580965</v>
      </c>
      <c r="BO62" s="33">
        <f t="shared" si="42"/>
        <v>27</v>
      </c>
      <c r="BP62" s="1">
        <f t="shared" si="43"/>
        <v>27.5</v>
      </c>
    </row>
    <row r="63" ht="15.75" customHeight="1">
      <c r="C63" s="29"/>
      <c r="D63" s="30" t="s">
        <v>98</v>
      </c>
      <c r="E63" s="31"/>
      <c r="F63" s="31"/>
      <c r="G63" s="31"/>
      <c r="H63" s="31"/>
      <c r="I63" s="31"/>
      <c r="J63" s="37">
        <v>2872.0</v>
      </c>
      <c r="K63" s="33">
        <v>0.0</v>
      </c>
      <c r="L63" s="33">
        <v>0.0</v>
      </c>
      <c r="M63" s="34">
        <f t="shared" si="150"/>
        <v>0</v>
      </c>
      <c r="N63" s="35" t="str">
        <f t="shared" si="4"/>
        <v>-</v>
      </c>
      <c r="O63" s="36">
        <f t="shared" si="5"/>
        <v>47</v>
      </c>
      <c r="P63" s="29">
        <v>0.0</v>
      </c>
      <c r="Q63" s="29">
        <v>0.0</v>
      </c>
      <c r="R63" s="34">
        <f t="shared" si="6"/>
        <v>0</v>
      </c>
      <c r="S63" s="35" t="str">
        <f t="shared" si="7"/>
        <v>-</v>
      </c>
      <c r="T63" s="36">
        <f t="shared" si="8"/>
        <v>38</v>
      </c>
      <c r="U63" s="29">
        <v>2.0</v>
      </c>
      <c r="V63" s="29">
        <v>0.0</v>
      </c>
      <c r="W63" s="29">
        <f t="shared" si="9"/>
        <v>-2</v>
      </c>
      <c r="X63" s="35">
        <f t="shared" si="10"/>
        <v>-1</v>
      </c>
      <c r="Y63" s="36">
        <f t="shared" si="11"/>
        <v>54</v>
      </c>
      <c r="Z63" s="33">
        <v>4.0</v>
      </c>
      <c r="AA63" s="33">
        <v>3.0</v>
      </c>
      <c r="AB63" s="29">
        <f t="shared" si="12"/>
        <v>-1</v>
      </c>
      <c r="AC63" s="35">
        <f t="shared" si="13"/>
        <v>-0.25</v>
      </c>
      <c r="AD63" s="36">
        <f t="shared" si="14"/>
        <v>53</v>
      </c>
      <c r="AE63" s="29">
        <f t="shared" si="15"/>
        <v>50.2</v>
      </c>
      <c r="AF63" s="33">
        <f t="shared" ref="AF63:AG63" si="153">K63</f>
        <v>0</v>
      </c>
      <c r="AG63" s="33">
        <f t="shared" si="153"/>
        <v>0</v>
      </c>
      <c r="AH63" s="34">
        <f t="shared" si="17"/>
        <v>0</v>
      </c>
      <c r="AI63" s="35" t="str">
        <f t="shared" si="18"/>
        <v>-</v>
      </c>
      <c r="AJ63" s="33">
        <f t="shared" si="19"/>
        <v>0</v>
      </c>
      <c r="AK63" s="36">
        <f t="shared" si="20"/>
        <v>47</v>
      </c>
      <c r="AL63" s="29">
        <f t="shared" ref="AL63:AM63" si="154">P63</f>
        <v>0</v>
      </c>
      <c r="AM63" s="29">
        <f t="shared" si="154"/>
        <v>0</v>
      </c>
      <c r="AN63" s="34">
        <f t="shared" si="22"/>
        <v>0</v>
      </c>
      <c r="AO63" s="35" t="str">
        <f t="shared" si="23"/>
        <v>-</v>
      </c>
      <c r="AP63" s="33">
        <f t="shared" si="24"/>
        <v>0</v>
      </c>
      <c r="AQ63" s="36">
        <f t="shared" si="25"/>
        <v>38</v>
      </c>
      <c r="AR63" s="29">
        <v>2.0</v>
      </c>
      <c r="AS63" s="29">
        <v>0.0</v>
      </c>
      <c r="AT63" s="29">
        <f t="shared" si="26"/>
        <v>-2</v>
      </c>
      <c r="AU63" s="35">
        <f t="shared" si="27"/>
        <v>-1</v>
      </c>
      <c r="AV63" s="33">
        <f t="shared" si="28"/>
        <v>0</v>
      </c>
      <c r="AW63" s="33">
        <f t="shared" si="46"/>
        <v>5</v>
      </c>
      <c r="AX63" s="36">
        <f t="shared" si="29"/>
        <v>54</v>
      </c>
      <c r="AY63" s="33">
        <v>4.0</v>
      </c>
      <c r="AZ63" s="33">
        <v>3.0</v>
      </c>
      <c r="BA63" s="29">
        <f t="shared" si="30"/>
        <v>-1</v>
      </c>
      <c r="BB63" s="35">
        <f t="shared" si="31"/>
        <v>-0.25</v>
      </c>
      <c r="BC63" s="36">
        <f t="shared" si="32"/>
        <v>10.44568245</v>
      </c>
      <c r="BD63" s="33">
        <f t="shared" si="33"/>
        <v>4.610437211</v>
      </c>
      <c r="BE63" s="36">
        <f t="shared" si="34"/>
        <v>49</v>
      </c>
      <c r="BF63" s="29">
        <f t="shared" si="35"/>
        <v>48.8</v>
      </c>
      <c r="BH63" s="29">
        <f t="shared" si="47"/>
        <v>48.8</v>
      </c>
      <c r="BI63" s="1">
        <f t="shared" si="36"/>
        <v>51.5</v>
      </c>
      <c r="BJ63" s="1">
        <f t="shared" si="37"/>
        <v>4.805218605</v>
      </c>
      <c r="BK63" s="1">
        <f t="shared" si="38"/>
        <v>52</v>
      </c>
      <c r="BL63" s="3">
        <f t="shared" si="39"/>
        <v>-6.963788301</v>
      </c>
      <c r="BM63" s="33">
        <f t="shared" si="40"/>
        <v>1</v>
      </c>
      <c r="BN63" s="3">
        <f t="shared" si="41"/>
        <v>-3.48189415</v>
      </c>
      <c r="BO63" s="33">
        <f t="shared" si="42"/>
        <v>22</v>
      </c>
      <c r="BP63" s="1">
        <f t="shared" si="43"/>
        <v>11.5</v>
      </c>
    </row>
    <row r="64" ht="15.75" customHeight="1">
      <c r="E64" s="2"/>
      <c r="F64" s="2"/>
      <c r="G64" s="2"/>
      <c r="H64" s="2"/>
      <c r="I64" s="2"/>
      <c r="J64" s="6"/>
      <c r="BL64" s="3"/>
      <c r="BM64" s="3"/>
      <c r="BN64" s="3"/>
      <c r="BO64" s="3"/>
    </row>
    <row r="65" ht="15.75" customHeight="1">
      <c r="E65" s="2"/>
      <c r="F65" s="2"/>
      <c r="G65" s="2"/>
      <c r="H65" s="2"/>
      <c r="I65" s="2"/>
      <c r="J65" s="6"/>
      <c r="BL65" s="3"/>
      <c r="BM65" s="3"/>
      <c r="BN65" s="3"/>
      <c r="BO65" s="3"/>
    </row>
    <row r="66" ht="15.75" customHeight="1">
      <c r="E66" s="2"/>
      <c r="F66" s="2"/>
      <c r="G66" s="2"/>
      <c r="H66" s="2"/>
      <c r="I66" s="2"/>
      <c r="J66" s="6"/>
      <c r="BL66" s="3"/>
      <c r="BM66" s="3"/>
      <c r="BN66" s="3"/>
      <c r="BO66" s="3"/>
    </row>
    <row r="67" ht="15.75" customHeight="1">
      <c r="E67" s="2"/>
      <c r="F67" s="2"/>
      <c r="G67" s="2"/>
      <c r="H67" s="2"/>
      <c r="I67" s="2"/>
      <c r="J67" s="6"/>
      <c r="BL67" s="3"/>
      <c r="BM67" s="3"/>
      <c r="BN67" s="3"/>
      <c r="BO67" s="3"/>
    </row>
    <row r="68" ht="15.75" customHeight="1">
      <c r="E68" s="2"/>
      <c r="F68" s="2"/>
      <c r="G68" s="2"/>
      <c r="H68" s="2"/>
      <c r="I68" s="2"/>
      <c r="J68" s="6"/>
      <c r="BL68" s="3"/>
      <c r="BM68" s="3"/>
      <c r="BN68" s="3"/>
      <c r="BO68" s="3"/>
    </row>
    <row r="69" ht="15.75" customHeight="1">
      <c r="E69" s="2"/>
      <c r="F69" s="2"/>
      <c r="G69" s="2"/>
      <c r="H69" s="2"/>
      <c r="I69" s="2"/>
      <c r="J69" s="6"/>
      <c r="BL69" s="3"/>
      <c r="BM69" s="3"/>
      <c r="BN69" s="3"/>
      <c r="BO69" s="3"/>
    </row>
    <row r="70" ht="15.75" customHeight="1">
      <c r="E70" s="2"/>
      <c r="F70" s="2"/>
      <c r="G70" s="2"/>
      <c r="H70" s="2"/>
      <c r="I70" s="2"/>
      <c r="J70" s="6"/>
      <c r="BL70" s="3"/>
      <c r="BM70" s="3"/>
      <c r="BN70" s="3"/>
      <c r="BO70" s="3"/>
    </row>
    <row r="71" ht="15.75" customHeight="1">
      <c r="E71" s="2"/>
      <c r="F71" s="2"/>
      <c r="G71" s="2"/>
      <c r="H71" s="2"/>
      <c r="I71" s="2"/>
      <c r="J71" s="6"/>
      <c r="BL71" s="3"/>
      <c r="BM71" s="3"/>
      <c r="BN71" s="3"/>
      <c r="BO71" s="3"/>
    </row>
    <row r="72" ht="15.75" customHeight="1">
      <c r="E72" s="2"/>
      <c r="F72" s="2"/>
      <c r="G72" s="2"/>
      <c r="H72" s="2"/>
      <c r="I72" s="2"/>
      <c r="J72" s="6"/>
      <c r="BL72" s="3"/>
      <c r="BM72" s="3"/>
      <c r="BN72" s="3"/>
      <c r="BO72" s="3"/>
    </row>
    <row r="73" ht="15.75" customHeight="1">
      <c r="E73" s="2"/>
      <c r="F73" s="2"/>
      <c r="G73" s="2"/>
      <c r="H73" s="2"/>
      <c r="I73" s="2"/>
      <c r="J73" s="6"/>
      <c r="BL73" s="3"/>
      <c r="BM73" s="3"/>
      <c r="BN73" s="3"/>
      <c r="BO73" s="3"/>
    </row>
    <row r="74" ht="15.75" customHeight="1">
      <c r="E74" s="2"/>
      <c r="F74" s="2"/>
      <c r="G74" s="2"/>
      <c r="H74" s="2"/>
      <c r="I74" s="2"/>
      <c r="J74" s="6"/>
      <c r="BL74" s="3"/>
      <c r="BM74" s="3"/>
      <c r="BN74" s="3"/>
      <c r="BO74" s="3"/>
    </row>
    <row r="75" ht="15.75" customHeight="1">
      <c r="E75" s="2"/>
      <c r="F75" s="2"/>
      <c r="G75" s="2"/>
      <c r="H75" s="2"/>
      <c r="I75" s="2"/>
      <c r="J75" s="6"/>
      <c r="BL75" s="3"/>
      <c r="BM75" s="3"/>
      <c r="BN75" s="3"/>
      <c r="BO75" s="3"/>
    </row>
    <row r="76" ht="15.75" customHeight="1">
      <c r="E76" s="2"/>
      <c r="F76" s="2"/>
      <c r="G76" s="2"/>
      <c r="H76" s="2"/>
      <c r="I76" s="2"/>
      <c r="J76" s="6"/>
      <c r="BL76" s="3"/>
      <c r="BM76" s="3"/>
      <c r="BN76" s="3"/>
      <c r="BO76" s="3"/>
    </row>
    <row r="77" ht="15.75" customHeight="1">
      <c r="E77" s="2"/>
      <c r="F77" s="2"/>
      <c r="G77" s="2"/>
      <c r="H77" s="2"/>
      <c r="I77" s="2"/>
      <c r="J77" s="6"/>
      <c r="BL77" s="3"/>
      <c r="BM77" s="3"/>
      <c r="BN77" s="3"/>
      <c r="BO77" s="3"/>
    </row>
    <row r="78" ht="15.75" customHeight="1">
      <c r="E78" s="2"/>
      <c r="F78" s="2"/>
      <c r="G78" s="2"/>
      <c r="H78" s="2"/>
      <c r="I78" s="2"/>
      <c r="J78" s="6"/>
      <c r="BL78" s="3"/>
      <c r="BM78" s="3"/>
      <c r="BN78" s="3"/>
      <c r="BO78" s="3"/>
    </row>
    <row r="79" ht="15.75" customHeight="1">
      <c r="E79" s="2"/>
      <c r="F79" s="2"/>
      <c r="G79" s="2"/>
      <c r="H79" s="2"/>
      <c r="I79" s="2"/>
      <c r="J79" s="6"/>
      <c r="BL79" s="3"/>
      <c r="BM79" s="3"/>
      <c r="BN79" s="3"/>
      <c r="BO79" s="3"/>
    </row>
    <row r="80" ht="15.75" customHeight="1">
      <c r="E80" s="2"/>
      <c r="F80" s="2"/>
      <c r="G80" s="2"/>
      <c r="H80" s="2"/>
      <c r="I80" s="2"/>
      <c r="J80" s="6"/>
      <c r="BL80" s="3"/>
      <c r="BM80" s="3"/>
      <c r="BN80" s="3"/>
      <c r="BO80" s="3"/>
    </row>
    <row r="81" ht="15.75" customHeight="1">
      <c r="E81" s="2"/>
      <c r="F81" s="2"/>
      <c r="G81" s="2"/>
      <c r="H81" s="2"/>
      <c r="I81" s="2"/>
      <c r="J81" s="6"/>
      <c r="BL81" s="3"/>
      <c r="BM81" s="3"/>
      <c r="BN81" s="3"/>
      <c r="BO81" s="3"/>
    </row>
    <row r="82" ht="15.75" customHeight="1">
      <c r="E82" s="2"/>
      <c r="F82" s="2"/>
      <c r="G82" s="2"/>
      <c r="H82" s="2"/>
      <c r="I82" s="2"/>
      <c r="J82" s="6"/>
      <c r="BL82" s="3"/>
      <c r="BM82" s="3"/>
      <c r="BN82" s="3"/>
      <c r="BO82" s="3"/>
    </row>
    <row r="83" ht="15.75" customHeight="1">
      <c r="E83" s="2"/>
      <c r="F83" s="2"/>
      <c r="G83" s="2"/>
      <c r="H83" s="2"/>
      <c r="I83" s="2"/>
      <c r="J83" s="6"/>
      <c r="BL83" s="3"/>
      <c r="BM83" s="3"/>
      <c r="BN83" s="3"/>
      <c r="BO83" s="3"/>
    </row>
    <row r="84" ht="15.75" customHeight="1">
      <c r="E84" s="2"/>
      <c r="F84" s="2"/>
      <c r="G84" s="2"/>
      <c r="H84" s="2"/>
      <c r="I84" s="2"/>
      <c r="J84" s="6"/>
      <c r="BL84" s="3"/>
      <c r="BM84" s="3"/>
      <c r="BN84" s="3"/>
      <c r="BO84" s="3"/>
    </row>
    <row r="85" ht="15.75" customHeight="1">
      <c r="E85" s="2"/>
      <c r="F85" s="2"/>
      <c r="G85" s="2"/>
      <c r="H85" s="2"/>
      <c r="I85" s="2"/>
      <c r="J85" s="6"/>
      <c r="BL85" s="3"/>
      <c r="BM85" s="3"/>
      <c r="BN85" s="3"/>
      <c r="BO85" s="3"/>
    </row>
    <row r="86" ht="15.75" customHeight="1">
      <c r="E86" s="2"/>
      <c r="F86" s="2"/>
      <c r="G86" s="2"/>
      <c r="H86" s="2"/>
      <c r="I86" s="2"/>
      <c r="J86" s="6"/>
      <c r="BL86" s="3"/>
      <c r="BM86" s="3"/>
      <c r="BN86" s="3"/>
      <c r="BO86" s="3"/>
    </row>
    <row r="87" ht="15.75" customHeight="1">
      <c r="E87" s="2"/>
      <c r="F87" s="2"/>
      <c r="G87" s="2"/>
      <c r="H87" s="2"/>
      <c r="I87" s="2"/>
      <c r="J87" s="6"/>
      <c r="BL87" s="3"/>
      <c r="BM87" s="3"/>
      <c r="BN87" s="3"/>
      <c r="BO87" s="3"/>
    </row>
    <row r="88" ht="15.75" customHeight="1">
      <c r="E88" s="2"/>
      <c r="F88" s="2"/>
      <c r="G88" s="2"/>
      <c r="H88" s="2"/>
      <c r="I88" s="2"/>
      <c r="J88" s="6"/>
      <c r="BL88" s="3"/>
      <c r="BM88" s="3"/>
      <c r="BN88" s="3"/>
      <c r="BO88" s="3"/>
    </row>
    <row r="89" ht="15.75" customHeight="1">
      <c r="E89" s="2"/>
      <c r="F89" s="2"/>
      <c r="G89" s="2"/>
      <c r="H89" s="2"/>
      <c r="I89" s="2"/>
      <c r="J89" s="6"/>
      <c r="BL89" s="3"/>
      <c r="BM89" s="3"/>
      <c r="BN89" s="3"/>
      <c r="BO89" s="3"/>
    </row>
    <row r="90" ht="15.75" customHeight="1">
      <c r="E90" s="2"/>
      <c r="F90" s="2"/>
      <c r="G90" s="2"/>
      <c r="H90" s="2"/>
      <c r="I90" s="2"/>
      <c r="J90" s="6"/>
      <c r="BL90" s="3"/>
      <c r="BM90" s="3"/>
      <c r="BN90" s="3"/>
      <c r="BO90" s="3"/>
    </row>
    <row r="91" ht="15.75" customHeight="1">
      <c r="E91" s="2"/>
      <c r="F91" s="2"/>
      <c r="G91" s="2"/>
      <c r="H91" s="2"/>
      <c r="I91" s="2"/>
      <c r="J91" s="6"/>
      <c r="BL91" s="3"/>
      <c r="BM91" s="3"/>
      <c r="BN91" s="3"/>
      <c r="BO91" s="3"/>
    </row>
    <row r="92" ht="15.75" customHeight="1">
      <c r="E92" s="2"/>
      <c r="F92" s="2"/>
      <c r="G92" s="2"/>
      <c r="H92" s="2"/>
      <c r="I92" s="2"/>
      <c r="J92" s="6"/>
      <c r="BL92" s="3"/>
      <c r="BM92" s="3"/>
      <c r="BN92" s="3"/>
      <c r="BO92" s="3"/>
    </row>
    <row r="93" ht="15.75" customHeight="1">
      <c r="E93" s="2"/>
      <c r="F93" s="2"/>
      <c r="G93" s="2"/>
      <c r="H93" s="2"/>
      <c r="I93" s="2"/>
      <c r="J93" s="6"/>
      <c r="BL93" s="3"/>
      <c r="BM93" s="3"/>
      <c r="BN93" s="3"/>
      <c r="BO93" s="3"/>
    </row>
    <row r="94" ht="15.75" customHeight="1">
      <c r="E94" s="2"/>
      <c r="F94" s="2"/>
      <c r="G94" s="2"/>
      <c r="H94" s="2"/>
      <c r="I94" s="2"/>
      <c r="J94" s="6"/>
      <c r="BL94" s="3"/>
      <c r="BM94" s="3"/>
      <c r="BN94" s="3"/>
      <c r="BO94" s="3"/>
    </row>
    <row r="95" ht="15.75" customHeight="1">
      <c r="E95" s="2"/>
      <c r="F95" s="2"/>
      <c r="G95" s="2"/>
      <c r="H95" s="2"/>
      <c r="I95" s="2"/>
      <c r="J95" s="6"/>
      <c r="BL95" s="3"/>
      <c r="BM95" s="3"/>
      <c r="BN95" s="3"/>
      <c r="BO95" s="3"/>
    </row>
    <row r="96" ht="15.75" customHeight="1">
      <c r="E96" s="2"/>
      <c r="F96" s="2"/>
      <c r="G96" s="2"/>
      <c r="H96" s="2"/>
      <c r="I96" s="2"/>
      <c r="J96" s="6"/>
      <c r="BL96" s="3"/>
      <c r="BM96" s="3"/>
      <c r="BN96" s="3"/>
      <c r="BO96" s="3"/>
    </row>
    <row r="97" ht="15.75" customHeight="1">
      <c r="E97" s="2"/>
      <c r="F97" s="2"/>
      <c r="G97" s="2"/>
      <c r="H97" s="2"/>
      <c r="I97" s="2"/>
      <c r="J97" s="6"/>
      <c r="BL97" s="3"/>
      <c r="BM97" s="3"/>
      <c r="BN97" s="3"/>
      <c r="BO97" s="3"/>
    </row>
    <row r="98" ht="15.75" customHeight="1">
      <c r="E98" s="2"/>
      <c r="F98" s="2"/>
      <c r="G98" s="2"/>
      <c r="H98" s="2"/>
      <c r="I98" s="2"/>
      <c r="J98" s="6"/>
      <c r="BL98" s="3"/>
      <c r="BM98" s="3"/>
      <c r="BN98" s="3"/>
      <c r="BO98" s="3"/>
    </row>
    <row r="99" ht="15.75" customHeight="1">
      <c r="E99" s="2"/>
      <c r="F99" s="2"/>
      <c r="G99" s="2"/>
      <c r="H99" s="2"/>
      <c r="I99" s="2"/>
      <c r="J99" s="6"/>
      <c r="BL99" s="3"/>
      <c r="BM99" s="3"/>
      <c r="BN99" s="3"/>
      <c r="BO99" s="3"/>
    </row>
    <row r="100" ht="15.75" customHeight="1">
      <c r="E100" s="2"/>
      <c r="F100" s="2"/>
      <c r="G100" s="2"/>
      <c r="H100" s="2"/>
      <c r="I100" s="2"/>
      <c r="J100" s="6"/>
      <c r="BL100" s="3"/>
      <c r="BM100" s="3"/>
      <c r="BN100" s="3"/>
      <c r="BO100" s="3"/>
    </row>
    <row r="101" ht="15.75" customHeight="1">
      <c r="E101" s="2"/>
      <c r="F101" s="2"/>
      <c r="G101" s="2"/>
      <c r="H101" s="2"/>
      <c r="I101" s="2"/>
      <c r="J101" s="6"/>
      <c r="BL101" s="3"/>
      <c r="BM101" s="3"/>
      <c r="BN101" s="3"/>
      <c r="BO101" s="3"/>
    </row>
    <row r="102" ht="15.75" customHeight="1">
      <c r="E102" s="2"/>
      <c r="F102" s="2"/>
      <c r="G102" s="2"/>
      <c r="H102" s="2"/>
      <c r="I102" s="2"/>
      <c r="J102" s="6"/>
      <c r="BL102" s="3"/>
      <c r="BM102" s="3"/>
      <c r="BN102" s="3"/>
      <c r="BO102" s="3"/>
    </row>
    <row r="103" ht="15.75" customHeight="1">
      <c r="E103" s="2"/>
      <c r="F103" s="2"/>
      <c r="G103" s="2"/>
      <c r="H103" s="2"/>
      <c r="I103" s="2"/>
      <c r="J103" s="6"/>
      <c r="BL103" s="3"/>
      <c r="BM103" s="3"/>
      <c r="BN103" s="3"/>
      <c r="BO103" s="3"/>
    </row>
    <row r="104" ht="15.75" customHeight="1">
      <c r="E104" s="2"/>
      <c r="F104" s="2"/>
      <c r="G104" s="2"/>
      <c r="H104" s="2"/>
      <c r="I104" s="2"/>
      <c r="J104" s="6"/>
      <c r="BL104" s="3"/>
      <c r="BM104" s="3"/>
      <c r="BN104" s="3"/>
      <c r="BO104" s="3"/>
    </row>
    <row r="105" ht="15.75" customHeight="1">
      <c r="E105" s="2"/>
      <c r="F105" s="2"/>
      <c r="G105" s="2"/>
      <c r="H105" s="2"/>
      <c r="I105" s="2"/>
      <c r="J105" s="6"/>
      <c r="BL105" s="3"/>
      <c r="BM105" s="3"/>
      <c r="BN105" s="3"/>
      <c r="BO105" s="3"/>
    </row>
    <row r="106" ht="15.75" customHeight="1">
      <c r="E106" s="2"/>
      <c r="F106" s="2"/>
      <c r="G106" s="2"/>
      <c r="H106" s="2"/>
      <c r="I106" s="2"/>
      <c r="J106" s="6"/>
      <c r="BL106" s="3"/>
      <c r="BM106" s="3"/>
      <c r="BN106" s="3"/>
      <c r="BO106" s="3"/>
    </row>
    <row r="107" ht="15.75" customHeight="1">
      <c r="E107" s="2"/>
      <c r="F107" s="2"/>
      <c r="G107" s="2"/>
      <c r="H107" s="2"/>
      <c r="I107" s="2"/>
      <c r="J107" s="6"/>
      <c r="BL107" s="3"/>
      <c r="BM107" s="3"/>
      <c r="BN107" s="3"/>
      <c r="BO107" s="3"/>
    </row>
    <row r="108" ht="15.75" customHeight="1">
      <c r="E108" s="2"/>
      <c r="F108" s="2"/>
      <c r="G108" s="2"/>
      <c r="H108" s="2"/>
      <c r="I108" s="2"/>
      <c r="J108" s="6"/>
      <c r="BL108" s="3"/>
      <c r="BM108" s="3"/>
      <c r="BN108" s="3"/>
      <c r="BO108" s="3"/>
    </row>
    <row r="109" ht="15.75" customHeight="1">
      <c r="E109" s="2"/>
      <c r="F109" s="2"/>
      <c r="G109" s="2"/>
      <c r="H109" s="2"/>
      <c r="I109" s="2"/>
      <c r="J109" s="6"/>
      <c r="BL109" s="3"/>
      <c r="BM109" s="3"/>
      <c r="BN109" s="3"/>
      <c r="BO109" s="3"/>
    </row>
    <row r="110" ht="15.75" customHeight="1">
      <c r="E110" s="2"/>
      <c r="F110" s="2"/>
      <c r="G110" s="2"/>
      <c r="H110" s="2"/>
      <c r="I110" s="2"/>
      <c r="J110" s="6"/>
      <c r="BL110" s="3"/>
      <c r="BM110" s="3"/>
      <c r="BN110" s="3"/>
      <c r="BO110" s="3"/>
    </row>
    <row r="111" ht="15.75" customHeight="1">
      <c r="E111" s="2"/>
      <c r="F111" s="2"/>
      <c r="G111" s="2"/>
      <c r="H111" s="2"/>
      <c r="I111" s="2"/>
      <c r="J111" s="6"/>
      <c r="BL111" s="3"/>
      <c r="BM111" s="3"/>
      <c r="BN111" s="3"/>
      <c r="BO111" s="3"/>
    </row>
    <row r="112" ht="15.75" customHeight="1">
      <c r="E112" s="2"/>
      <c r="F112" s="2"/>
      <c r="G112" s="2"/>
      <c r="H112" s="2"/>
      <c r="I112" s="2"/>
      <c r="J112" s="6"/>
      <c r="BL112" s="3"/>
      <c r="BM112" s="3"/>
      <c r="BN112" s="3"/>
      <c r="BO112" s="3"/>
    </row>
    <row r="113" ht="15.75" customHeight="1">
      <c r="E113" s="2"/>
      <c r="F113" s="2"/>
      <c r="G113" s="2"/>
      <c r="H113" s="2"/>
      <c r="I113" s="2"/>
      <c r="J113" s="6"/>
      <c r="BL113" s="3"/>
      <c r="BM113" s="3"/>
      <c r="BN113" s="3"/>
      <c r="BO113" s="3"/>
    </row>
    <row r="114" ht="15.75" customHeight="1">
      <c r="E114" s="2"/>
      <c r="F114" s="2"/>
      <c r="G114" s="2"/>
      <c r="H114" s="2"/>
      <c r="I114" s="2"/>
      <c r="J114" s="6"/>
      <c r="BL114" s="3"/>
      <c r="BM114" s="3"/>
      <c r="BN114" s="3"/>
      <c r="BO114" s="3"/>
    </row>
    <row r="115" ht="15.75" customHeight="1">
      <c r="E115" s="2"/>
      <c r="F115" s="2"/>
      <c r="G115" s="2"/>
      <c r="H115" s="2"/>
      <c r="I115" s="2"/>
      <c r="J115" s="6"/>
      <c r="BL115" s="3"/>
      <c r="BM115" s="3"/>
      <c r="BN115" s="3"/>
      <c r="BO115" s="3"/>
    </row>
    <row r="116" ht="15.75" customHeight="1">
      <c r="E116" s="2"/>
      <c r="F116" s="2"/>
      <c r="G116" s="2"/>
      <c r="H116" s="2"/>
      <c r="I116" s="2"/>
      <c r="J116" s="6"/>
      <c r="BL116" s="3"/>
      <c r="BM116" s="3"/>
      <c r="BN116" s="3"/>
      <c r="BO116" s="3"/>
    </row>
    <row r="117" ht="15.75" customHeight="1">
      <c r="E117" s="2"/>
      <c r="F117" s="2"/>
      <c r="G117" s="2"/>
      <c r="H117" s="2"/>
      <c r="I117" s="2"/>
      <c r="J117" s="6"/>
      <c r="BL117" s="3"/>
      <c r="BM117" s="3"/>
      <c r="BN117" s="3"/>
      <c r="BO117" s="3"/>
    </row>
    <row r="118" ht="15.75" customHeight="1">
      <c r="E118" s="2"/>
      <c r="F118" s="2"/>
      <c r="G118" s="2"/>
      <c r="H118" s="2"/>
      <c r="I118" s="2"/>
      <c r="J118" s="6"/>
      <c r="BL118" s="3"/>
      <c r="BM118" s="3"/>
      <c r="BN118" s="3"/>
      <c r="BO118" s="3"/>
    </row>
    <row r="119" ht="15.75" customHeight="1">
      <c r="E119" s="2"/>
      <c r="F119" s="2"/>
      <c r="G119" s="2"/>
      <c r="H119" s="2"/>
      <c r="I119" s="2"/>
      <c r="J119" s="6"/>
      <c r="BL119" s="3"/>
      <c r="BM119" s="3"/>
      <c r="BN119" s="3"/>
      <c r="BO119" s="3"/>
    </row>
    <row r="120" ht="15.75" customHeight="1">
      <c r="E120" s="2"/>
      <c r="F120" s="2"/>
      <c r="G120" s="2"/>
      <c r="H120" s="2"/>
      <c r="I120" s="2"/>
      <c r="J120" s="6"/>
      <c r="BL120" s="3"/>
      <c r="BM120" s="3"/>
      <c r="BN120" s="3"/>
      <c r="BO120" s="3"/>
    </row>
    <row r="121" ht="15.75" customHeight="1">
      <c r="E121" s="2"/>
      <c r="F121" s="2"/>
      <c r="G121" s="2"/>
      <c r="H121" s="2"/>
      <c r="I121" s="2"/>
      <c r="J121" s="6"/>
      <c r="BL121" s="3"/>
      <c r="BM121" s="3"/>
      <c r="BN121" s="3"/>
      <c r="BO121" s="3"/>
    </row>
    <row r="122" ht="15.75" customHeight="1">
      <c r="E122" s="2"/>
      <c r="F122" s="2"/>
      <c r="G122" s="2"/>
      <c r="H122" s="2"/>
      <c r="I122" s="2"/>
      <c r="J122" s="6"/>
      <c r="BL122" s="3"/>
      <c r="BM122" s="3"/>
      <c r="BN122" s="3"/>
      <c r="BO122" s="3"/>
    </row>
    <row r="123" ht="15.75" customHeight="1">
      <c r="E123" s="2"/>
      <c r="F123" s="2"/>
      <c r="G123" s="2"/>
      <c r="H123" s="2"/>
      <c r="I123" s="2"/>
      <c r="J123" s="6"/>
      <c r="BL123" s="3"/>
      <c r="BM123" s="3"/>
      <c r="BN123" s="3"/>
      <c r="BO123" s="3"/>
    </row>
    <row r="124" ht="15.75" customHeight="1">
      <c r="E124" s="2"/>
      <c r="F124" s="2"/>
      <c r="G124" s="2"/>
      <c r="H124" s="2"/>
      <c r="I124" s="2"/>
      <c r="J124" s="6"/>
      <c r="BL124" s="3"/>
      <c r="BM124" s="3"/>
      <c r="BN124" s="3"/>
      <c r="BO124" s="3"/>
    </row>
    <row r="125" ht="15.75" customHeight="1">
      <c r="E125" s="2"/>
      <c r="F125" s="2"/>
      <c r="G125" s="2"/>
      <c r="H125" s="2"/>
      <c r="I125" s="2"/>
      <c r="J125" s="6"/>
      <c r="BL125" s="3"/>
      <c r="BM125" s="3"/>
      <c r="BN125" s="3"/>
      <c r="BO125" s="3"/>
    </row>
    <row r="126" ht="15.75" customHeight="1">
      <c r="E126" s="2"/>
      <c r="F126" s="2"/>
      <c r="G126" s="2"/>
      <c r="H126" s="2"/>
      <c r="I126" s="2"/>
      <c r="J126" s="6"/>
      <c r="BL126" s="3"/>
      <c r="BM126" s="3"/>
      <c r="BN126" s="3"/>
      <c r="BO126" s="3"/>
    </row>
    <row r="127" ht="15.75" customHeight="1">
      <c r="E127" s="2"/>
      <c r="F127" s="2"/>
      <c r="G127" s="2"/>
      <c r="H127" s="2"/>
      <c r="I127" s="2"/>
      <c r="J127" s="6"/>
      <c r="BL127" s="3"/>
      <c r="BM127" s="3"/>
      <c r="BN127" s="3"/>
      <c r="BO127" s="3"/>
    </row>
    <row r="128" ht="15.75" customHeight="1">
      <c r="E128" s="2"/>
      <c r="F128" s="2"/>
      <c r="G128" s="2"/>
      <c r="H128" s="2"/>
      <c r="I128" s="2"/>
      <c r="J128" s="6"/>
      <c r="BL128" s="3"/>
      <c r="BM128" s="3"/>
      <c r="BN128" s="3"/>
      <c r="BO128" s="3"/>
    </row>
    <row r="129" ht="15.75" customHeight="1">
      <c r="E129" s="2"/>
      <c r="F129" s="2"/>
      <c r="G129" s="2"/>
      <c r="H129" s="2"/>
      <c r="I129" s="2"/>
      <c r="J129" s="6"/>
      <c r="BL129" s="3"/>
      <c r="BM129" s="3"/>
      <c r="BN129" s="3"/>
      <c r="BO129" s="3"/>
    </row>
    <row r="130" ht="15.75" customHeight="1">
      <c r="E130" s="2"/>
      <c r="F130" s="2"/>
      <c r="G130" s="2"/>
      <c r="H130" s="2"/>
      <c r="I130" s="2"/>
      <c r="J130" s="6"/>
      <c r="BL130" s="3"/>
      <c r="BM130" s="3"/>
      <c r="BN130" s="3"/>
      <c r="BO130" s="3"/>
    </row>
    <row r="131" ht="15.75" customHeight="1">
      <c r="E131" s="2"/>
      <c r="F131" s="2"/>
      <c r="G131" s="2"/>
      <c r="H131" s="2"/>
      <c r="I131" s="2"/>
      <c r="J131" s="6"/>
      <c r="BL131" s="3"/>
      <c r="BM131" s="3"/>
      <c r="BN131" s="3"/>
      <c r="BO131" s="3"/>
    </row>
    <row r="132" ht="15.75" customHeight="1">
      <c r="E132" s="2"/>
      <c r="F132" s="2"/>
      <c r="G132" s="2"/>
      <c r="H132" s="2"/>
      <c r="I132" s="2"/>
      <c r="J132" s="6"/>
      <c r="BL132" s="3"/>
      <c r="BM132" s="3"/>
      <c r="BN132" s="3"/>
      <c r="BO132" s="3"/>
    </row>
    <row r="133" ht="15.75" customHeight="1">
      <c r="E133" s="2"/>
      <c r="F133" s="2"/>
      <c r="G133" s="2"/>
      <c r="H133" s="2"/>
      <c r="I133" s="2"/>
      <c r="J133" s="6"/>
      <c r="BL133" s="3"/>
      <c r="BM133" s="3"/>
      <c r="BN133" s="3"/>
      <c r="BO133" s="3"/>
    </row>
    <row r="134" ht="15.75" customHeight="1">
      <c r="E134" s="2"/>
      <c r="F134" s="2"/>
      <c r="G134" s="2"/>
      <c r="H134" s="2"/>
      <c r="I134" s="2"/>
      <c r="J134" s="6"/>
      <c r="BL134" s="3"/>
      <c r="BM134" s="3"/>
      <c r="BN134" s="3"/>
      <c r="BO134" s="3"/>
    </row>
    <row r="135" ht="15.75" customHeight="1">
      <c r="E135" s="2"/>
      <c r="F135" s="2"/>
      <c r="G135" s="2"/>
      <c r="H135" s="2"/>
      <c r="I135" s="2"/>
      <c r="J135" s="6"/>
      <c r="BL135" s="3"/>
      <c r="BM135" s="3"/>
      <c r="BN135" s="3"/>
      <c r="BO135" s="3"/>
    </row>
    <row r="136" ht="15.75" customHeight="1">
      <c r="E136" s="2"/>
      <c r="F136" s="2"/>
      <c r="G136" s="2"/>
      <c r="H136" s="2"/>
      <c r="I136" s="2"/>
      <c r="J136" s="6"/>
      <c r="BL136" s="3"/>
      <c r="BM136" s="3"/>
      <c r="BN136" s="3"/>
      <c r="BO136" s="3"/>
    </row>
    <row r="137" ht="15.75" customHeight="1">
      <c r="E137" s="2"/>
      <c r="F137" s="2"/>
      <c r="G137" s="2"/>
      <c r="H137" s="2"/>
      <c r="I137" s="2"/>
      <c r="J137" s="6"/>
      <c r="BL137" s="3"/>
      <c r="BM137" s="3"/>
      <c r="BN137" s="3"/>
      <c r="BO137" s="3"/>
    </row>
    <row r="138" ht="15.75" customHeight="1">
      <c r="E138" s="2"/>
      <c r="F138" s="2"/>
      <c r="G138" s="2"/>
      <c r="H138" s="2"/>
      <c r="I138" s="2"/>
      <c r="J138" s="6"/>
      <c r="BL138" s="3"/>
      <c r="BM138" s="3"/>
      <c r="BN138" s="3"/>
      <c r="BO138" s="3"/>
    </row>
    <row r="139" ht="15.75" customHeight="1">
      <c r="E139" s="2"/>
      <c r="F139" s="2"/>
      <c r="G139" s="2"/>
      <c r="H139" s="2"/>
      <c r="I139" s="2"/>
      <c r="J139" s="6"/>
      <c r="BL139" s="3"/>
      <c r="BM139" s="3"/>
      <c r="BN139" s="3"/>
      <c r="BO139" s="3"/>
    </row>
    <row r="140" ht="15.75" customHeight="1">
      <c r="E140" s="2"/>
      <c r="F140" s="2"/>
      <c r="G140" s="2"/>
      <c r="H140" s="2"/>
      <c r="I140" s="2"/>
      <c r="J140" s="6"/>
      <c r="BL140" s="3"/>
      <c r="BM140" s="3"/>
      <c r="BN140" s="3"/>
      <c r="BO140" s="3"/>
    </row>
    <row r="141" ht="15.75" customHeight="1">
      <c r="E141" s="2"/>
      <c r="F141" s="2"/>
      <c r="G141" s="2"/>
      <c r="H141" s="2"/>
      <c r="I141" s="2"/>
      <c r="J141" s="6"/>
      <c r="BL141" s="3"/>
      <c r="BM141" s="3"/>
      <c r="BN141" s="3"/>
      <c r="BO141" s="3"/>
    </row>
    <row r="142" ht="15.75" customHeight="1">
      <c r="E142" s="2"/>
      <c r="F142" s="2"/>
      <c r="G142" s="2"/>
      <c r="H142" s="2"/>
      <c r="I142" s="2"/>
      <c r="J142" s="6"/>
      <c r="BL142" s="3"/>
      <c r="BM142" s="3"/>
      <c r="BN142" s="3"/>
      <c r="BO142" s="3"/>
    </row>
    <row r="143" ht="15.75" customHeight="1">
      <c r="E143" s="2"/>
      <c r="F143" s="2"/>
      <c r="G143" s="2"/>
      <c r="H143" s="2"/>
      <c r="I143" s="2"/>
      <c r="J143" s="6"/>
      <c r="BL143" s="3"/>
      <c r="BM143" s="3"/>
      <c r="BN143" s="3"/>
      <c r="BO143" s="3"/>
    </row>
    <row r="144" ht="15.75" customHeight="1">
      <c r="E144" s="2"/>
      <c r="F144" s="2"/>
      <c r="G144" s="2"/>
      <c r="H144" s="2"/>
      <c r="I144" s="2"/>
      <c r="J144" s="6"/>
      <c r="BL144" s="3"/>
      <c r="BM144" s="3"/>
      <c r="BN144" s="3"/>
      <c r="BO144" s="3"/>
    </row>
    <row r="145" ht="15.75" customHeight="1">
      <c r="E145" s="2"/>
      <c r="F145" s="2"/>
      <c r="G145" s="2"/>
      <c r="H145" s="2"/>
      <c r="I145" s="2"/>
      <c r="J145" s="6"/>
      <c r="BL145" s="3"/>
      <c r="BM145" s="3"/>
      <c r="BN145" s="3"/>
      <c r="BO145" s="3"/>
    </row>
    <row r="146" ht="15.75" customHeight="1">
      <c r="E146" s="2"/>
      <c r="F146" s="2"/>
      <c r="G146" s="2"/>
      <c r="H146" s="2"/>
      <c r="I146" s="2"/>
      <c r="J146" s="6"/>
      <c r="BL146" s="3"/>
      <c r="BM146" s="3"/>
      <c r="BN146" s="3"/>
      <c r="BO146" s="3"/>
    </row>
    <row r="147" ht="15.75" customHeight="1">
      <c r="E147" s="2"/>
      <c r="F147" s="2"/>
      <c r="G147" s="2"/>
      <c r="H147" s="2"/>
      <c r="I147" s="2"/>
      <c r="J147" s="6"/>
      <c r="BL147" s="3"/>
      <c r="BM147" s="3"/>
      <c r="BN147" s="3"/>
      <c r="BO147" s="3"/>
    </row>
    <row r="148" ht="15.75" customHeight="1">
      <c r="E148" s="2"/>
      <c r="F148" s="2"/>
      <c r="G148" s="2"/>
      <c r="H148" s="2"/>
      <c r="I148" s="2"/>
      <c r="J148" s="6"/>
      <c r="BL148" s="3"/>
      <c r="BM148" s="3"/>
      <c r="BN148" s="3"/>
      <c r="BO148" s="3"/>
    </row>
    <row r="149" ht="15.75" customHeight="1">
      <c r="E149" s="2"/>
      <c r="F149" s="2"/>
      <c r="G149" s="2"/>
      <c r="H149" s="2"/>
      <c r="I149" s="2"/>
      <c r="J149" s="6"/>
      <c r="BL149" s="3"/>
      <c r="BM149" s="3"/>
      <c r="BN149" s="3"/>
      <c r="BO149" s="3"/>
    </row>
    <row r="150" ht="15.75" customHeight="1">
      <c r="E150" s="2"/>
      <c r="F150" s="2"/>
      <c r="G150" s="2"/>
      <c r="H150" s="2"/>
      <c r="I150" s="2"/>
      <c r="J150" s="6"/>
      <c r="BL150" s="3"/>
      <c r="BM150" s="3"/>
      <c r="BN150" s="3"/>
      <c r="BO150" s="3"/>
    </row>
    <row r="151" ht="15.75" customHeight="1">
      <c r="E151" s="2"/>
      <c r="F151" s="2"/>
      <c r="G151" s="2"/>
      <c r="H151" s="2"/>
      <c r="I151" s="2"/>
      <c r="J151" s="6"/>
      <c r="BL151" s="3"/>
      <c r="BM151" s="3"/>
      <c r="BN151" s="3"/>
      <c r="BO151" s="3"/>
    </row>
    <row r="152" ht="15.75" customHeight="1">
      <c r="E152" s="2"/>
      <c r="F152" s="2"/>
      <c r="G152" s="2"/>
      <c r="H152" s="2"/>
      <c r="I152" s="2"/>
      <c r="J152" s="6"/>
      <c r="BL152" s="3"/>
      <c r="BM152" s="3"/>
      <c r="BN152" s="3"/>
      <c r="BO152" s="3"/>
    </row>
    <row r="153" ht="15.75" customHeight="1">
      <c r="E153" s="2"/>
      <c r="F153" s="2"/>
      <c r="G153" s="2"/>
      <c r="H153" s="2"/>
      <c r="I153" s="2"/>
      <c r="J153" s="6"/>
      <c r="BL153" s="3"/>
      <c r="BM153" s="3"/>
      <c r="BN153" s="3"/>
      <c r="BO153" s="3"/>
    </row>
    <row r="154" ht="15.75" customHeight="1">
      <c r="E154" s="2"/>
      <c r="F154" s="2"/>
      <c r="G154" s="2"/>
      <c r="H154" s="2"/>
      <c r="I154" s="2"/>
      <c r="J154" s="6"/>
      <c r="BL154" s="3"/>
      <c r="BM154" s="3"/>
      <c r="BN154" s="3"/>
      <c r="BO154" s="3"/>
    </row>
    <row r="155" ht="15.75" customHeight="1">
      <c r="E155" s="2"/>
      <c r="F155" s="2"/>
      <c r="G155" s="2"/>
      <c r="H155" s="2"/>
      <c r="I155" s="2"/>
      <c r="J155" s="6"/>
      <c r="BL155" s="3"/>
      <c r="BM155" s="3"/>
      <c r="BN155" s="3"/>
      <c r="BO155" s="3"/>
    </row>
    <row r="156" ht="15.75" customHeight="1">
      <c r="E156" s="2"/>
      <c r="F156" s="2"/>
      <c r="G156" s="2"/>
      <c r="H156" s="2"/>
      <c r="I156" s="2"/>
      <c r="J156" s="6"/>
      <c r="BL156" s="3"/>
      <c r="BM156" s="3"/>
      <c r="BN156" s="3"/>
      <c r="BO156" s="3"/>
    </row>
    <row r="157" ht="15.75" customHeight="1">
      <c r="E157" s="2"/>
      <c r="F157" s="2"/>
      <c r="G157" s="2"/>
      <c r="H157" s="2"/>
      <c r="I157" s="2"/>
      <c r="J157" s="6"/>
      <c r="BL157" s="3"/>
      <c r="BM157" s="3"/>
      <c r="BN157" s="3"/>
      <c r="BO157" s="3"/>
    </row>
    <row r="158" ht="15.75" customHeight="1">
      <c r="E158" s="2"/>
      <c r="F158" s="2"/>
      <c r="G158" s="2"/>
      <c r="H158" s="2"/>
      <c r="I158" s="2"/>
      <c r="J158" s="6"/>
      <c r="BL158" s="3"/>
      <c r="BM158" s="3"/>
      <c r="BN158" s="3"/>
      <c r="BO158" s="3"/>
    </row>
    <row r="159" ht="15.75" customHeight="1">
      <c r="E159" s="2"/>
      <c r="F159" s="2"/>
      <c r="G159" s="2"/>
      <c r="H159" s="2"/>
      <c r="I159" s="2"/>
      <c r="J159" s="6"/>
      <c r="BL159" s="3"/>
      <c r="BM159" s="3"/>
      <c r="BN159" s="3"/>
      <c r="BO159" s="3"/>
    </row>
    <row r="160" ht="15.75" customHeight="1">
      <c r="E160" s="2"/>
      <c r="F160" s="2"/>
      <c r="G160" s="2"/>
      <c r="H160" s="2"/>
      <c r="I160" s="2"/>
      <c r="J160" s="6"/>
      <c r="BL160" s="3"/>
      <c r="BM160" s="3"/>
      <c r="BN160" s="3"/>
      <c r="BO160" s="3"/>
    </row>
    <row r="161" ht="15.75" customHeight="1">
      <c r="E161" s="2"/>
      <c r="F161" s="2"/>
      <c r="G161" s="2"/>
      <c r="H161" s="2"/>
      <c r="I161" s="2"/>
      <c r="J161" s="6"/>
      <c r="BL161" s="3"/>
      <c r="BM161" s="3"/>
      <c r="BN161" s="3"/>
      <c r="BO161" s="3"/>
    </row>
    <row r="162" ht="15.75" customHeight="1">
      <c r="E162" s="2"/>
      <c r="F162" s="2"/>
      <c r="G162" s="2"/>
      <c r="H162" s="2"/>
      <c r="I162" s="2"/>
      <c r="J162" s="6"/>
      <c r="BL162" s="3"/>
      <c r="BM162" s="3"/>
      <c r="BN162" s="3"/>
      <c r="BO162" s="3"/>
    </row>
    <row r="163" ht="15.75" customHeight="1">
      <c r="E163" s="2"/>
      <c r="F163" s="2"/>
      <c r="G163" s="2"/>
      <c r="H163" s="2"/>
      <c r="I163" s="2"/>
      <c r="J163" s="6"/>
      <c r="BL163" s="3"/>
      <c r="BM163" s="3"/>
      <c r="BN163" s="3"/>
      <c r="BO163" s="3"/>
    </row>
    <row r="164" ht="15.75" customHeight="1">
      <c r="E164" s="2"/>
      <c r="F164" s="2"/>
      <c r="G164" s="2"/>
      <c r="H164" s="2"/>
      <c r="I164" s="2"/>
      <c r="J164" s="6"/>
      <c r="BL164" s="3"/>
      <c r="BM164" s="3"/>
      <c r="BN164" s="3"/>
      <c r="BO164" s="3"/>
    </row>
    <row r="165" ht="15.75" customHeight="1">
      <c r="E165" s="2"/>
      <c r="F165" s="2"/>
      <c r="G165" s="2"/>
      <c r="H165" s="2"/>
      <c r="I165" s="2"/>
      <c r="J165" s="6"/>
      <c r="BL165" s="3"/>
      <c r="BM165" s="3"/>
      <c r="BN165" s="3"/>
      <c r="BO165" s="3"/>
    </row>
    <row r="166" ht="15.75" customHeight="1">
      <c r="E166" s="2"/>
      <c r="F166" s="2"/>
      <c r="G166" s="2"/>
      <c r="H166" s="2"/>
      <c r="I166" s="2"/>
      <c r="J166" s="6"/>
      <c r="BL166" s="3"/>
      <c r="BM166" s="3"/>
      <c r="BN166" s="3"/>
      <c r="BO166" s="3"/>
    </row>
    <row r="167" ht="15.75" customHeight="1">
      <c r="E167" s="2"/>
      <c r="F167" s="2"/>
      <c r="G167" s="2"/>
      <c r="H167" s="2"/>
      <c r="I167" s="2"/>
      <c r="J167" s="6"/>
      <c r="BL167" s="3"/>
      <c r="BM167" s="3"/>
      <c r="BN167" s="3"/>
      <c r="BO167" s="3"/>
    </row>
    <row r="168" ht="15.75" customHeight="1">
      <c r="E168" s="2"/>
      <c r="F168" s="2"/>
      <c r="G168" s="2"/>
      <c r="H168" s="2"/>
      <c r="I168" s="2"/>
      <c r="J168" s="6"/>
      <c r="BL168" s="3"/>
      <c r="BM168" s="3"/>
      <c r="BN168" s="3"/>
      <c r="BO168" s="3"/>
    </row>
    <row r="169" ht="15.75" customHeight="1">
      <c r="E169" s="2"/>
      <c r="F169" s="2"/>
      <c r="G169" s="2"/>
      <c r="H169" s="2"/>
      <c r="I169" s="2"/>
      <c r="J169" s="6"/>
      <c r="BL169" s="3"/>
      <c r="BM169" s="3"/>
      <c r="BN169" s="3"/>
      <c r="BO169" s="3"/>
    </row>
    <row r="170" ht="15.75" customHeight="1">
      <c r="E170" s="2"/>
      <c r="F170" s="2"/>
      <c r="G170" s="2"/>
      <c r="H170" s="2"/>
      <c r="I170" s="2"/>
      <c r="J170" s="6"/>
      <c r="BL170" s="3"/>
      <c r="BM170" s="3"/>
      <c r="BN170" s="3"/>
      <c r="BO170" s="3"/>
    </row>
    <row r="171" ht="15.75" customHeight="1">
      <c r="E171" s="2"/>
      <c r="F171" s="2"/>
      <c r="G171" s="2"/>
      <c r="H171" s="2"/>
      <c r="I171" s="2"/>
      <c r="J171" s="6"/>
      <c r="BL171" s="3"/>
      <c r="BM171" s="3"/>
      <c r="BN171" s="3"/>
      <c r="BO171" s="3"/>
    </row>
    <row r="172" ht="15.75" customHeight="1">
      <c r="E172" s="2"/>
      <c r="F172" s="2"/>
      <c r="G172" s="2"/>
      <c r="H172" s="2"/>
      <c r="I172" s="2"/>
      <c r="J172" s="6"/>
      <c r="BL172" s="3"/>
      <c r="BM172" s="3"/>
      <c r="BN172" s="3"/>
      <c r="BO172" s="3"/>
    </row>
    <row r="173" ht="15.75" customHeight="1">
      <c r="E173" s="2"/>
      <c r="F173" s="2"/>
      <c r="G173" s="2"/>
      <c r="H173" s="2"/>
      <c r="I173" s="2"/>
      <c r="J173" s="6"/>
      <c r="BL173" s="3"/>
      <c r="BM173" s="3"/>
      <c r="BN173" s="3"/>
      <c r="BO173" s="3"/>
    </row>
    <row r="174" ht="15.75" customHeight="1">
      <c r="E174" s="2"/>
      <c r="F174" s="2"/>
      <c r="G174" s="2"/>
      <c r="H174" s="2"/>
      <c r="I174" s="2"/>
      <c r="J174" s="6"/>
      <c r="BL174" s="3"/>
      <c r="BM174" s="3"/>
      <c r="BN174" s="3"/>
      <c r="BO174" s="3"/>
    </row>
    <row r="175" ht="15.75" customHeight="1">
      <c r="E175" s="2"/>
      <c r="F175" s="2"/>
      <c r="G175" s="2"/>
      <c r="H175" s="2"/>
      <c r="I175" s="2"/>
      <c r="J175" s="6"/>
      <c r="BL175" s="3"/>
      <c r="BM175" s="3"/>
      <c r="BN175" s="3"/>
      <c r="BO175" s="3"/>
    </row>
    <row r="176" ht="15.75" customHeight="1">
      <c r="E176" s="2"/>
      <c r="F176" s="2"/>
      <c r="G176" s="2"/>
      <c r="H176" s="2"/>
      <c r="I176" s="2"/>
      <c r="J176" s="6"/>
      <c r="BL176" s="3"/>
      <c r="BM176" s="3"/>
      <c r="BN176" s="3"/>
      <c r="BO176" s="3"/>
    </row>
    <row r="177" ht="15.75" customHeight="1">
      <c r="E177" s="2"/>
      <c r="F177" s="2"/>
      <c r="G177" s="2"/>
      <c r="H177" s="2"/>
      <c r="I177" s="2"/>
      <c r="J177" s="6"/>
      <c r="BL177" s="3"/>
      <c r="BM177" s="3"/>
      <c r="BN177" s="3"/>
      <c r="BO177" s="3"/>
    </row>
    <row r="178" ht="15.75" customHeight="1">
      <c r="E178" s="2"/>
      <c r="F178" s="2"/>
      <c r="G178" s="2"/>
      <c r="H178" s="2"/>
      <c r="I178" s="2"/>
      <c r="J178" s="6"/>
      <c r="BL178" s="3"/>
      <c r="BM178" s="3"/>
      <c r="BN178" s="3"/>
      <c r="BO178" s="3"/>
    </row>
    <row r="179" ht="15.75" customHeight="1">
      <c r="E179" s="2"/>
      <c r="F179" s="2"/>
      <c r="G179" s="2"/>
      <c r="H179" s="2"/>
      <c r="I179" s="2"/>
      <c r="J179" s="6"/>
      <c r="BL179" s="3"/>
      <c r="BM179" s="3"/>
      <c r="BN179" s="3"/>
      <c r="BO179" s="3"/>
    </row>
    <row r="180" ht="15.75" customHeight="1">
      <c r="E180" s="2"/>
      <c r="F180" s="2"/>
      <c r="G180" s="2"/>
      <c r="H180" s="2"/>
      <c r="I180" s="2"/>
      <c r="J180" s="6"/>
      <c r="BL180" s="3"/>
      <c r="BM180" s="3"/>
      <c r="BN180" s="3"/>
      <c r="BO180" s="3"/>
    </row>
    <row r="181" ht="15.75" customHeight="1">
      <c r="E181" s="2"/>
      <c r="F181" s="2"/>
      <c r="G181" s="2"/>
      <c r="H181" s="2"/>
      <c r="I181" s="2"/>
      <c r="J181" s="6"/>
      <c r="BL181" s="3"/>
      <c r="BM181" s="3"/>
      <c r="BN181" s="3"/>
      <c r="BO181" s="3"/>
    </row>
    <row r="182" ht="15.75" customHeight="1">
      <c r="E182" s="2"/>
      <c r="F182" s="2"/>
      <c r="G182" s="2"/>
      <c r="H182" s="2"/>
      <c r="I182" s="2"/>
      <c r="J182" s="6"/>
      <c r="BL182" s="3"/>
      <c r="BM182" s="3"/>
      <c r="BN182" s="3"/>
      <c r="BO182" s="3"/>
    </row>
    <row r="183" ht="15.75" customHeight="1">
      <c r="E183" s="2"/>
      <c r="F183" s="2"/>
      <c r="G183" s="2"/>
      <c r="H183" s="2"/>
      <c r="I183" s="2"/>
      <c r="J183" s="6"/>
      <c r="BL183" s="3"/>
      <c r="BM183" s="3"/>
      <c r="BN183" s="3"/>
      <c r="BO183" s="3"/>
    </row>
    <row r="184" ht="15.75" customHeight="1">
      <c r="E184" s="2"/>
      <c r="F184" s="2"/>
      <c r="G184" s="2"/>
      <c r="H184" s="2"/>
      <c r="I184" s="2"/>
      <c r="J184" s="6"/>
      <c r="BL184" s="3"/>
      <c r="BM184" s="3"/>
      <c r="BN184" s="3"/>
      <c r="BO184" s="3"/>
    </row>
    <row r="185" ht="15.75" customHeight="1">
      <c r="E185" s="2"/>
      <c r="F185" s="2"/>
      <c r="G185" s="2"/>
      <c r="H185" s="2"/>
      <c r="I185" s="2"/>
      <c r="J185" s="6"/>
      <c r="BL185" s="3"/>
      <c r="BM185" s="3"/>
      <c r="BN185" s="3"/>
      <c r="BO185" s="3"/>
    </row>
    <row r="186" ht="15.75" customHeight="1">
      <c r="E186" s="2"/>
      <c r="F186" s="2"/>
      <c r="G186" s="2"/>
      <c r="H186" s="2"/>
      <c r="I186" s="2"/>
      <c r="J186" s="6"/>
      <c r="BL186" s="3"/>
      <c r="BM186" s="3"/>
      <c r="BN186" s="3"/>
      <c r="BO186" s="3"/>
    </row>
    <row r="187" ht="15.75" customHeight="1">
      <c r="E187" s="2"/>
      <c r="F187" s="2"/>
      <c r="G187" s="2"/>
      <c r="H187" s="2"/>
      <c r="I187" s="2"/>
      <c r="J187" s="6"/>
      <c r="BL187" s="3"/>
      <c r="BM187" s="3"/>
      <c r="BN187" s="3"/>
      <c r="BO187" s="3"/>
    </row>
    <row r="188" ht="15.75" customHeight="1">
      <c r="E188" s="2"/>
      <c r="F188" s="2"/>
      <c r="G188" s="2"/>
      <c r="H188" s="2"/>
      <c r="I188" s="2"/>
      <c r="J188" s="6"/>
      <c r="BL188" s="3"/>
      <c r="BM188" s="3"/>
      <c r="BN188" s="3"/>
      <c r="BO188" s="3"/>
    </row>
    <row r="189" ht="15.75" customHeight="1">
      <c r="E189" s="2"/>
      <c r="F189" s="2"/>
      <c r="G189" s="2"/>
      <c r="H189" s="2"/>
      <c r="I189" s="2"/>
      <c r="J189" s="6"/>
      <c r="BL189" s="3"/>
      <c r="BM189" s="3"/>
      <c r="BN189" s="3"/>
      <c r="BO189" s="3"/>
    </row>
    <row r="190" ht="15.75" customHeight="1">
      <c r="E190" s="2"/>
      <c r="F190" s="2"/>
      <c r="G190" s="2"/>
      <c r="H190" s="2"/>
      <c r="I190" s="2"/>
      <c r="J190" s="6"/>
      <c r="BL190" s="3"/>
      <c r="BM190" s="3"/>
      <c r="BN190" s="3"/>
      <c r="BO190" s="3"/>
    </row>
    <row r="191" ht="15.75" customHeight="1">
      <c r="E191" s="2"/>
      <c r="F191" s="2"/>
      <c r="G191" s="2"/>
      <c r="H191" s="2"/>
      <c r="I191" s="2"/>
      <c r="J191" s="6"/>
      <c r="BL191" s="3"/>
      <c r="BM191" s="3"/>
      <c r="BN191" s="3"/>
      <c r="BO191" s="3"/>
    </row>
    <row r="192" ht="15.75" customHeight="1">
      <c r="E192" s="2"/>
      <c r="F192" s="2"/>
      <c r="G192" s="2"/>
      <c r="H192" s="2"/>
      <c r="I192" s="2"/>
      <c r="J192" s="6"/>
      <c r="BL192" s="3"/>
      <c r="BM192" s="3"/>
      <c r="BN192" s="3"/>
      <c r="BO192" s="3"/>
    </row>
    <row r="193" ht="15.75" customHeight="1">
      <c r="E193" s="2"/>
      <c r="F193" s="2"/>
      <c r="G193" s="2"/>
      <c r="H193" s="2"/>
      <c r="I193" s="2"/>
      <c r="J193" s="6"/>
      <c r="BL193" s="3"/>
      <c r="BM193" s="3"/>
      <c r="BN193" s="3"/>
      <c r="BO193" s="3"/>
    </row>
    <row r="194" ht="15.75" customHeight="1">
      <c r="E194" s="2"/>
      <c r="F194" s="2"/>
      <c r="G194" s="2"/>
      <c r="H194" s="2"/>
      <c r="I194" s="2"/>
      <c r="J194" s="6"/>
      <c r="BL194" s="3"/>
      <c r="BM194" s="3"/>
      <c r="BN194" s="3"/>
      <c r="BO194" s="3"/>
    </row>
    <row r="195" ht="15.75" customHeight="1">
      <c r="E195" s="2"/>
      <c r="F195" s="2"/>
      <c r="G195" s="2"/>
      <c r="H195" s="2"/>
      <c r="I195" s="2"/>
      <c r="J195" s="6"/>
      <c r="BL195" s="3"/>
      <c r="BM195" s="3"/>
      <c r="BN195" s="3"/>
      <c r="BO195" s="3"/>
    </row>
    <row r="196" ht="15.75" customHeight="1">
      <c r="E196" s="2"/>
      <c r="F196" s="2"/>
      <c r="G196" s="2"/>
      <c r="H196" s="2"/>
      <c r="I196" s="2"/>
      <c r="J196" s="6"/>
      <c r="BL196" s="3"/>
      <c r="BM196" s="3"/>
      <c r="BN196" s="3"/>
      <c r="BO196" s="3"/>
    </row>
    <row r="197" ht="15.75" customHeight="1">
      <c r="E197" s="2"/>
      <c r="F197" s="2"/>
      <c r="G197" s="2"/>
      <c r="H197" s="2"/>
      <c r="I197" s="2"/>
      <c r="J197" s="6"/>
      <c r="BL197" s="3"/>
      <c r="BM197" s="3"/>
      <c r="BN197" s="3"/>
      <c r="BO197" s="3"/>
    </row>
    <row r="198" ht="15.75" customHeight="1">
      <c r="E198" s="2"/>
      <c r="F198" s="2"/>
      <c r="G198" s="2"/>
      <c r="H198" s="2"/>
      <c r="I198" s="2"/>
      <c r="J198" s="6"/>
      <c r="BL198" s="3"/>
      <c r="BM198" s="3"/>
      <c r="BN198" s="3"/>
      <c r="BO198" s="3"/>
    </row>
    <row r="199" ht="15.75" customHeight="1">
      <c r="E199" s="2"/>
      <c r="F199" s="2"/>
      <c r="G199" s="2"/>
      <c r="H199" s="2"/>
      <c r="I199" s="2"/>
      <c r="J199" s="6"/>
      <c r="BL199" s="3"/>
      <c r="BM199" s="3"/>
      <c r="BN199" s="3"/>
      <c r="BO199" s="3"/>
    </row>
    <row r="200" ht="15.75" customHeight="1">
      <c r="E200" s="2"/>
      <c r="F200" s="2"/>
      <c r="G200" s="2"/>
      <c r="H200" s="2"/>
      <c r="I200" s="2"/>
      <c r="J200" s="6"/>
      <c r="BL200" s="3"/>
      <c r="BM200" s="3"/>
      <c r="BN200" s="3"/>
      <c r="BO200" s="3"/>
    </row>
    <row r="201" ht="15.75" customHeight="1">
      <c r="E201" s="2"/>
      <c r="F201" s="2"/>
      <c r="G201" s="2"/>
      <c r="H201" s="2"/>
      <c r="I201" s="2"/>
      <c r="J201" s="6"/>
      <c r="BL201" s="3"/>
      <c r="BM201" s="3"/>
      <c r="BN201" s="3"/>
      <c r="BO201" s="3"/>
    </row>
    <row r="202" ht="15.75" customHeight="1">
      <c r="E202" s="2"/>
      <c r="F202" s="2"/>
      <c r="G202" s="2"/>
      <c r="H202" s="2"/>
      <c r="I202" s="2"/>
      <c r="J202" s="6"/>
      <c r="BL202" s="3"/>
      <c r="BM202" s="3"/>
      <c r="BN202" s="3"/>
      <c r="BO202" s="3"/>
    </row>
    <row r="203" ht="15.75" customHeight="1">
      <c r="E203" s="2"/>
      <c r="F203" s="2"/>
      <c r="G203" s="2"/>
      <c r="H203" s="2"/>
      <c r="I203" s="2"/>
      <c r="J203" s="6"/>
      <c r="BL203" s="3"/>
      <c r="BM203" s="3"/>
      <c r="BN203" s="3"/>
      <c r="BO203" s="3"/>
    </row>
    <row r="204" ht="15.75" customHeight="1">
      <c r="E204" s="2"/>
      <c r="F204" s="2"/>
      <c r="G204" s="2"/>
      <c r="H204" s="2"/>
      <c r="I204" s="2"/>
      <c r="J204" s="6"/>
      <c r="BL204" s="3"/>
      <c r="BM204" s="3"/>
      <c r="BN204" s="3"/>
      <c r="BO204" s="3"/>
    </row>
    <row r="205" ht="15.75" customHeight="1">
      <c r="E205" s="2"/>
      <c r="F205" s="2"/>
      <c r="G205" s="2"/>
      <c r="H205" s="2"/>
      <c r="I205" s="2"/>
      <c r="J205" s="6"/>
      <c r="BL205" s="3"/>
      <c r="BM205" s="3"/>
      <c r="BN205" s="3"/>
      <c r="BO205" s="3"/>
    </row>
    <row r="206" ht="15.75" customHeight="1">
      <c r="E206" s="2"/>
      <c r="F206" s="2"/>
      <c r="G206" s="2"/>
      <c r="H206" s="2"/>
      <c r="I206" s="2"/>
      <c r="J206" s="6"/>
      <c r="BL206" s="3"/>
      <c r="BM206" s="3"/>
      <c r="BN206" s="3"/>
      <c r="BO206" s="3"/>
    </row>
    <row r="207" ht="15.75" customHeight="1">
      <c r="E207" s="2"/>
      <c r="F207" s="2"/>
      <c r="G207" s="2"/>
      <c r="H207" s="2"/>
      <c r="I207" s="2"/>
      <c r="J207" s="6"/>
      <c r="BL207" s="3"/>
      <c r="BM207" s="3"/>
      <c r="BN207" s="3"/>
      <c r="BO207" s="3"/>
    </row>
    <row r="208" ht="15.75" customHeight="1">
      <c r="E208" s="2"/>
      <c r="F208" s="2"/>
      <c r="G208" s="2"/>
      <c r="H208" s="2"/>
      <c r="I208" s="2"/>
      <c r="J208" s="6"/>
      <c r="BL208" s="3"/>
      <c r="BM208" s="3"/>
      <c r="BN208" s="3"/>
      <c r="BO208" s="3"/>
    </row>
    <row r="209" ht="15.75" customHeight="1">
      <c r="E209" s="2"/>
      <c r="F209" s="2"/>
      <c r="G209" s="2"/>
      <c r="H209" s="2"/>
      <c r="I209" s="2"/>
      <c r="J209" s="6"/>
      <c r="BL209" s="3"/>
      <c r="BM209" s="3"/>
      <c r="BN209" s="3"/>
      <c r="BO209" s="3"/>
    </row>
    <row r="210" ht="15.75" customHeight="1">
      <c r="E210" s="2"/>
      <c r="F210" s="2"/>
      <c r="G210" s="2"/>
      <c r="H210" s="2"/>
      <c r="I210" s="2"/>
      <c r="J210" s="6"/>
      <c r="BL210" s="3"/>
      <c r="BM210" s="3"/>
      <c r="BN210" s="3"/>
      <c r="BO210" s="3"/>
    </row>
    <row r="211" ht="15.75" customHeight="1">
      <c r="E211" s="2"/>
      <c r="F211" s="2"/>
      <c r="G211" s="2"/>
      <c r="H211" s="2"/>
      <c r="I211" s="2"/>
      <c r="J211" s="6"/>
      <c r="BL211" s="3"/>
      <c r="BM211" s="3"/>
      <c r="BN211" s="3"/>
      <c r="BO211" s="3"/>
    </row>
    <row r="212" ht="15.75" customHeight="1">
      <c r="E212" s="2"/>
      <c r="F212" s="2"/>
      <c r="G212" s="2"/>
      <c r="H212" s="2"/>
      <c r="I212" s="2"/>
      <c r="J212" s="6"/>
      <c r="BL212" s="3"/>
      <c r="BM212" s="3"/>
      <c r="BN212" s="3"/>
      <c r="BO212" s="3"/>
    </row>
    <row r="213" ht="15.75" customHeight="1">
      <c r="E213" s="2"/>
      <c r="F213" s="2"/>
      <c r="G213" s="2"/>
      <c r="H213" s="2"/>
      <c r="I213" s="2"/>
      <c r="J213" s="6"/>
      <c r="BL213" s="3"/>
      <c r="BM213" s="3"/>
      <c r="BN213" s="3"/>
      <c r="BO213" s="3"/>
    </row>
    <row r="214" ht="15.75" customHeight="1">
      <c r="E214" s="2"/>
      <c r="F214" s="2"/>
      <c r="G214" s="2"/>
      <c r="H214" s="2"/>
      <c r="I214" s="2"/>
      <c r="J214" s="6"/>
      <c r="BL214" s="3"/>
      <c r="BM214" s="3"/>
      <c r="BN214" s="3"/>
      <c r="BO214" s="3"/>
    </row>
    <row r="215" ht="15.75" customHeight="1">
      <c r="E215" s="2"/>
      <c r="F215" s="2"/>
      <c r="G215" s="2"/>
      <c r="H215" s="2"/>
      <c r="I215" s="2"/>
      <c r="J215" s="6"/>
      <c r="BL215" s="3"/>
      <c r="BM215" s="3"/>
      <c r="BN215" s="3"/>
      <c r="BO215" s="3"/>
    </row>
    <row r="216" ht="15.75" customHeight="1">
      <c r="E216" s="2"/>
      <c r="F216" s="2"/>
      <c r="G216" s="2"/>
      <c r="H216" s="2"/>
      <c r="I216" s="2"/>
      <c r="J216" s="6"/>
      <c r="BL216" s="3"/>
      <c r="BM216" s="3"/>
      <c r="BN216" s="3"/>
      <c r="BO216" s="3"/>
    </row>
    <row r="217" ht="15.75" customHeight="1">
      <c r="E217" s="2"/>
      <c r="F217" s="2"/>
      <c r="G217" s="2"/>
      <c r="H217" s="2"/>
      <c r="I217" s="2"/>
      <c r="J217" s="6"/>
      <c r="BL217" s="3"/>
      <c r="BM217" s="3"/>
      <c r="BN217" s="3"/>
      <c r="BO217" s="3"/>
    </row>
    <row r="218" ht="15.75" customHeight="1">
      <c r="E218" s="2"/>
      <c r="F218" s="2"/>
      <c r="G218" s="2"/>
      <c r="H218" s="2"/>
      <c r="I218" s="2"/>
      <c r="J218" s="6"/>
      <c r="BL218" s="3"/>
      <c r="BM218" s="3"/>
      <c r="BN218" s="3"/>
      <c r="BO218" s="3"/>
    </row>
    <row r="219" ht="15.75" customHeight="1">
      <c r="E219" s="2"/>
      <c r="F219" s="2"/>
      <c r="G219" s="2"/>
      <c r="H219" s="2"/>
      <c r="I219" s="2"/>
      <c r="J219" s="6"/>
      <c r="BL219" s="3"/>
      <c r="BM219" s="3"/>
      <c r="BN219" s="3"/>
      <c r="BO219" s="3"/>
    </row>
    <row r="220" ht="15.75" customHeight="1">
      <c r="E220" s="2"/>
      <c r="F220" s="2"/>
      <c r="G220" s="2"/>
      <c r="H220" s="2"/>
      <c r="I220" s="2"/>
      <c r="J220" s="6"/>
      <c r="BL220" s="3"/>
      <c r="BM220" s="3"/>
      <c r="BN220" s="3"/>
      <c r="BO220" s="3"/>
    </row>
    <row r="221" ht="15.75" customHeight="1">
      <c r="E221" s="2"/>
      <c r="F221" s="2"/>
      <c r="G221" s="2"/>
      <c r="H221" s="2"/>
      <c r="I221" s="2"/>
      <c r="J221" s="6"/>
      <c r="BL221" s="3"/>
      <c r="BM221" s="3"/>
      <c r="BN221" s="3"/>
      <c r="BO221" s="3"/>
    </row>
    <row r="222" ht="15.75" customHeight="1">
      <c r="E222" s="2"/>
      <c r="F222" s="2"/>
      <c r="G222" s="2"/>
      <c r="H222" s="2"/>
      <c r="I222" s="2"/>
      <c r="J222" s="6"/>
      <c r="BL222" s="3"/>
      <c r="BM222" s="3"/>
      <c r="BN222" s="3"/>
      <c r="BO222" s="3"/>
    </row>
    <row r="223" ht="15.75" customHeight="1">
      <c r="E223" s="2"/>
      <c r="F223" s="2"/>
      <c r="G223" s="2"/>
      <c r="H223" s="2"/>
      <c r="I223" s="2"/>
      <c r="J223" s="6"/>
      <c r="BL223" s="3"/>
      <c r="BM223" s="3"/>
      <c r="BN223" s="3"/>
      <c r="BO223" s="3"/>
    </row>
    <row r="224" ht="15.75" customHeight="1">
      <c r="E224" s="2"/>
      <c r="F224" s="2"/>
      <c r="G224" s="2"/>
      <c r="H224" s="2"/>
      <c r="I224" s="2"/>
      <c r="J224" s="6"/>
      <c r="BL224" s="3"/>
      <c r="BM224" s="3"/>
      <c r="BN224" s="3"/>
      <c r="BO224" s="3"/>
    </row>
    <row r="225" ht="15.75" customHeight="1">
      <c r="E225" s="2"/>
      <c r="F225" s="2"/>
      <c r="G225" s="2"/>
      <c r="H225" s="2"/>
      <c r="I225" s="2"/>
      <c r="J225" s="6"/>
      <c r="BL225" s="3"/>
      <c r="BM225" s="3"/>
      <c r="BN225" s="3"/>
      <c r="BO225" s="3"/>
    </row>
    <row r="226" ht="15.75" customHeight="1">
      <c r="E226" s="2"/>
      <c r="F226" s="2"/>
      <c r="G226" s="2"/>
      <c r="H226" s="2"/>
      <c r="I226" s="2"/>
      <c r="J226" s="6"/>
      <c r="BL226" s="3"/>
      <c r="BM226" s="3"/>
      <c r="BN226" s="3"/>
      <c r="BO226" s="3"/>
    </row>
    <row r="227" ht="15.75" customHeight="1">
      <c r="E227" s="2"/>
      <c r="F227" s="2"/>
      <c r="G227" s="2"/>
      <c r="H227" s="2"/>
      <c r="I227" s="2"/>
      <c r="J227" s="6"/>
      <c r="BL227" s="3"/>
      <c r="BM227" s="3"/>
      <c r="BN227" s="3"/>
      <c r="BO227" s="3"/>
    </row>
    <row r="228" ht="15.75" customHeight="1">
      <c r="E228" s="2"/>
      <c r="F228" s="2"/>
      <c r="G228" s="2"/>
      <c r="H228" s="2"/>
      <c r="I228" s="2"/>
      <c r="J228" s="6"/>
      <c r="BL228" s="3"/>
      <c r="BM228" s="3"/>
      <c r="BN228" s="3"/>
      <c r="BO228" s="3"/>
    </row>
    <row r="229" ht="15.75" customHeight="1">
      <c r="E229" s="2"/>
      <c r="F229" s="2"/>
      <c r="G229" s="2"/>
      <c r="H229" s="2"/>
      <c r="I229" s="2"/>
      <c r="J229" s="6"/>
      <c r="BL229" s="3"/>
      <c r="BM229" s="3"/>
      <c r="BN229" s="3"/>
      <c r="BO229" s="3"/>
    </row>
    <row r="230" ht="15.75" customHeight="1">
      <c r="E230" s="2"/>
      <c r="F230" s="2"/>
      <c r="G230" s="2"/>
      <c r="H230" s="2"/>
      <c r="I230" s="2"/>
      <c r="J230" s="6"/>
      <c r="BL230" s="3"/>
      <c r="BM230" s="3"/>
      <c r="BN230" s="3"/>
      <c r="BO230" s="3"/>
    </row>
    <row r="231" ht="15.75" customHeight="1">
      <c r="E231" s="2"/>
      <c r="F231" s="2"/>
      <c r="G231" s="2"/>
      <c r="H231" s="2"/>
      <c r="I231" s="2"/>
      <c r="J231" s="6"/>
      <c r="BL231" s="3"/>
      <c r="BM231" s="3"/>
      <c r="BN231" s="3"/>
      <c r="BO231" s="3"/>
    </row>
    <row r="232" ht="15.75" customHeight="1">
      <c r="E232" s="2"/>
      <c r="F232" s="2"/>
      <c r="G232" s="2"/>
      <c r="H232" s="2"/>
      <c r="I232" s="2"/>
      <c r="J232" s="6"/>
      <c r="BL232" s="3"/>
      <c r="BM232" s="3"/>
      <c r="BN232" s="3"/>
      <c r="BO232" s="3"/>
    </row>
    <row r="233" ht="15.75" customHeight="1">
      <c r="E233" s="2"/>
      <c r="F233" s="2"/>
      <c r="G233" s="2"/>
      <c r="H233" s="2"/>
      <c r="I233" s="2"/>
      <c r="J233" s="6"/>
      <c r="BL233" s="3"/>
      <c r="BM233" s="3"/>
      <c r="BN233" s="3"/>
      <c r="BO233" s="3"/>
    </row>
    <row r="234" ht="15.75" customHeight="1">
      <c r="E234" s="2"/>
      <c r="F234" s="2"/>
      <c r="G234" s="2"/>
      <c r="H234" s="2"/>
      <c r="I234" s="2"/>
      <c r="J234" s="6"/>
      <c r="BL234" s="3"/>
      <c r="BM234" s="3"/>
      <c r="BN234" s="3"/>
      <c r="BO234" s="3"/>
    </row>
    <row r="235" ht="15.75" customHeight="1">
      <c r="E235" s="2"/>
      <c r="F235" s="2"/>
      <c r="G235" s="2"/>
      <c r="H235" s="2"/>
      <c r="I235" s="2"/>
      <c r="J235" s="6"/>
      <c r="BL235" s="3"/>
      <c r="BM235" s="3"/>
      <c r="BN235" s="3"/>
      <c r="BO235" s="3"/>
    </row>
    <row r="236" ht="15.75" customHeight="1">
      <c r="E236" s="2"/>
      <c r="F236" s="2"/>
      <c r="G236" s="2"/>
      <c r="H236" s="2"/>
      <c r="I236" s="2"/>
      <c r="J236" s="6"/>
      <c r="BL236" s="3"/>
      <c r="BM236" s="3"/>
      <c r="BN236" s="3"/>
      <c r="BO236" s="3"/>
    </row>
    <row r="237" ht="15.75" customHeight="1">
      <c r="E237" s="2"/>
      <c r="F237" s="2"/>
      <c r="G237" s="2"/>
      <c r="H237" s="2"/>
      <c r="I237" s="2"/>
      <c r="J237" s="6"/>
      <c r="BL237" s="3"/>
      <c r="BM237" s="3"/>
      <c r="BN237" s="3"/>
      <c r="BO237" s="3"/>
    </row>
    <row r="238" ht="15.75" customHeight="1">
      <c r="E238" s="2"/>
      <c r="F238" s="2"/>
      <c r="G238" s="2"/>
      <c r="H238" s="2"/>
      <c r="I238" s="2"/>
      <c r="J238" s="6"/>
      <c r="BL238" s="3"/>
      <c r="BM238" s="3"/>
      <c r="BN238" s="3"/>
      <c r="BO238" s="3"/>
    </row>
    <row r="239" ht="15.75" customHeight="1">
      <c r="E239" s="2"/>
      <c r="F239" s="2"/>
      <c r="G239" s="2"/>
      <c r="H239" s="2"/>
      <c r="I239" s="2"/>
      <c r="J239" s="6"/>
      <c r="BL239" s="3"/>
      <c r="BM239" s="3"/>
      <c r="BN239" s="3"/>
      <c r="BO239" s="3"/>
    </row>
    <row r="240" ht="15.75" customHeight="1">
      <c r="E240" s="2"/>
      <c r="F240" s="2"/>
      <c r="G240" s="2"/>
      <c r="H240" s="2"/>
      <c r="I240" s="2"/>
      <c r="J240" s="6"/>
      <c r="BL240" s="3"/>
      <c r="BM240" s="3"/>
      <c r="BN240" s="3"/>
      <c r="BO240" s="3"/>
    </row>
    <row r="241" ht="15.75" customHeight="1">
      <c r="E241" s="2"/>
      <c r="F241" s="2"/>
      <c r="G241" s="2"/>
      <c r="H241" s="2"/>
      <c r="I241" s="2"/>
      <c r="J241" s="6"/>
      <c r="BL241" s="3"/>
      <c r="BM241" s="3"/>
      <c r="BN241" s="3"/>
      <c r="BO241" s="3"/>
    </row>
    <row r="242" ht="15.75" customHeight="1">
      <c r="E242" s="2"/>
      <c r="F242" s="2"/>
      <c r="G242" s="2"/>
      <c r="H242" s="2"/>
      <c r="I242" s="2"/>
      <c r="J242" s="6"/>
      <c r="BL242" s="3"/>
      <c r="BM242" s="3"/>
      <c r="BN242" s="3"/>
      <c r="BO242" s="3"/>
    </row>
    <row r="243" ht="15.75" customHeight="1">
      <c r="E243" s="2"/>
      <c r="F243" s="2"/>
      <c r="G243" s="2"/>
      <c r="H243" s="2"/>
      <c r="I243" s="2"/>
      <c r="J243" s="6"/>
      <c r="BL243" s="3"/>
      <c r="BM243" s="3"/>
      <c r="BN243" s="3"/>
      <c r="BO243" s="3"/>
    </row>
    <row r="244" ht="15.75" customHeight="1">
      <c r="E244" s="2"/>
      <c r="F244" s="2"/>
      <c r="G244" s="2"/>
      <c r="H244" s="2"/>
      <c r="I244" s="2"/>
      <c r="J244" s="6"/>
      <c r="BL244" s="3"/>
      <c r="BM244" s="3"/>
      <c r="BN244" s="3"/>
      <c r="BO244" s="3"/>
    </row>
    <row r="245" ht="15.75" customHeight="1">
      <c r="E245" s="2"/>
      <c r="F245" s="2"/>
      <c r="G245" s="2"/>
      <c r="H245" s="2"/>
      <c r="I245" s="2"/>
      <c r="J245" s="6"/>
      <c r="BL245" s="3"/>
      <c r="BM245" s="3"/>
      <c r="BN245" s="3"/>
      <c r="BO245" s="3"/>
    </row>
    <row r="246" ht="15.75" customHeight="1">
      <c r="E246" s="2"/>
      <c r="F246" s="2"/>
      <c r="G246" s="2"/>
      <c r="H246" s="2"/>
      <c r="I246" s="2"/>
      <c r="J246" s="6"/>
      <c r="BL246" s="3"/>
      <c r="BM246" s="3"/>
      <c r="BN246" s="3"/>
      <c r="BO246" s="3"/>
    </row>
    <row r="247" ht="15.75" customHeight="1">
      <c r="E247" s="2"/>
      <c r="F247" s="2"/>
      <c r="G247" s="2"/>
      <c r="H247" s="2"/>
      <c r="I247" s="2"/>
      <c r="J247" s="6"/>
      <c r="BL247" s="3"/>
      <c r="BM247" s="3"/>
      <c r="BN247" s="3"/>
      <c r="BO247" s="3"/>
    </row>
    <row r="248" ht="15.75" customHeight="1">
      <c r="E248" s="2"/>
      <c r="F248" s="2"/>
      <c r="G248" s="2"/>
      <c r="H248" s="2"/>
      <c r="I248" s="2"/>
      <c r="J248" s="6"/>
      <c r="BL248" s="3"/>
      <c r="BM248" s="3"/>
      <c r="BN248" s="3"/>
      <c r="BO248" s="3"/>
    </row>
    <row r="249" ht="15.75" customHeight="1">
      <c r="E249" s="2"/>
      <c r="F249" s="2"/>
      <c r="G249" s="2"/>
      <c r="H249" s="2"/>
      <c r="I249" s="2"/>
      <c r="J249" s="6"/>
      <c r="BL249" s="3"/>
      <c r="BM249" s="3"/>
      <c r="BN249" s="3"/>
      <c r="BO249" s="3"/>
    </row>
    <row r="250" ht="15.75" customHeight="1">
      <c r="E250" s="2"/>
      <c r="F250" s="2"/>
      <c r="G250" s="2"/>
      <c r="H250" s="2"/>
      <c r="I250" s="2"/>
      <c r="J250" s="6"/>
      <c r="BL250" s="3"/>
      <c r="BM250" s="3"/>
      <c r="BN250" s="3"/>
      <c r="BO250" s="3"/>
    </row>
    <row r="251" ht="15.75" customHeight="1">
      <c r="E251" s="2"/>
      <c r="F251" s="2"/>
      <c r="G251" s="2"/>
      <c r="H251" s="2"/>
      <c r="I251" s="2"/>
      <c r="J251" s="6"/>
      <c r="BL251" s="3"/>
      <c r="BM251" s="3"/>
      <c r="BN251" s="3"/>
      <c r="BO251" s="3"/>
    </row>
    <row r="252" ht="15.75" customHeight="1">
      <c r="E252" s="2"/>
      <c r="F252" s="2"/>
      <c r="G252" s="2"/>
      <c r="H252" s="2"/>
      <c r="I252" s="2"/>
      <c r="J252" s="6"/>
      <c r="BL252" s="3"/>
      <c r="BM252" s="3"/>
      <c r="BN252" s="3"/>
      <c r="BO252" s="3"/>
    </row>
    <row r="253" ht="15.75" customHeight="1">
      <c r="E253" s="2"/>
      <c r="F253" s="2"/>
      <c r="G253" s="2"/>
      <c r="H253" s="2"/>
      <c r="I253" s="2"/>
      <c r="J253" s="6"/>
      <c r="BL253" s="3"/>
      <c r="BM253" s="3"/>
      <c r="BN253" s="3"/>
      <c r="BO253" s="3"/>
    </row>
    <row r="254" ht="15.75" customHeight="1">
      <c r="E254" s="2"/>
      <c r="F254" s="2"/>
      <c r="G254" s="2"/>
      <c r="H254" s="2"/>
      <c r="I254" s="2"/>
      <c r="J254" s="6"/>
      <c r="BL254" s="3"/>
      <c r="BM254" s="3"/>
      <c r="BN254" s="3"/>
      <c r="BO254" s="3"/>
    </row>
    <row r="255" ht="15.75" customHeight="1">
      <c r="E255" s="2"/>
      <c r="F255" s="2"/>
      <c r="G255" s="2"/>
      <c r="H255" s="2"/>
      <c r="I255" s="2"/>
      <c r="J255" s="6"/>
      <c r="BL255" s="3"/>
      <c r="BM255" s="3"/>
      <c r="BN255" s="3"/>
      <c r="BO255" s="3"/>
    </row>
    <row r="256" ht="15.75" customHeight="1">
      <c r="E256" s="2"/>
      <c r="F256" s="2"/>
      <c r="G256" s="2"/>
      <c r="H256" s="2"/>
      <c r="I256" s="2"/>
      <c r="J256" s="6"/>
      <c r="BL256" s="3"/>
      <c r="BM256" s="3"/>
      <c r="BN256" s="3"/>
      <c r="BO256" s="3"/>
    </row>
    <row r="257" ht="15.75" customHeight="1">
      <c r="E257" s="2"/>
      <c r="F257" s="2"/>
      <c r="G257" s="2"/>
      <c r="H257" s="2"/>
      <c r="I257" s="2"/>
      <c r="J257" s="6"/>
      <c r="BL257" s="3"/>
      <c r="BM257" s="3"/>
      <c r="BN257" s="3"/>
      <c r="BO257" s="3"/>
    </row>
    <row r="258" ht="15.75" customHeight="1">
      <c r="E258" s="2"/>
      <c r="F258" s="2"/>
      <c r="G258" s="2"/>
      <c r="H258" s="2"/>
      <c r="I258" s="2"/>
      <c r="J258" s="6"/>
      <c r="BL258" s="3"/>
      <c r="BM258" s="3"/>
      <c r="BN258" s="3"/>
      <c r="BO258" s="3"/>
    </row>
    <row r="259" ht="15.75" customHeight="1">
      <c r="E259" s="2"/>
      <c r="F259" s="2"/>
      <c r="G259" s="2"/>
      <c r="H259" s="2"/>
      <c r="I259" s="2"/>
      <c r="J259" s="6"/>
      <c r="BL259" s="3"/>
      <c r="BM259" s="3"/>
      <c r="BN259" s="3"/>
      <c r="BO259" s="3"/>
    </row>
    <row r="260" ht="15.75" customHeight="1">
      <c r="E260" s="2"/>
      <c r="F260" s="2"/>
      <c r="G260" s="2"/>
      <c r="H260" s="2"/>
      <c r="I260" s="2"/>
      <c r="J260" s="6"/>
      <c r="BL260" s="3"/>
      <c r="BM260" s="3"/>
      <c r="BN260" s="3"/>
      <c r="BO260" s="3"/>
    </row>
    <row r="261" ht="15.75" customHeight="1">
      <c r="E261" s="2"/>
      <c r="F261" s="2"/>
      <c r="G261" s="2"/>
      <c r="H261" s="2"/>
      <c r="I261" s="2"/>
      <c r="J261" s="6"/>
      <c r="BL261" s="3"/>
      <c r="BM261" s="3"/>
      <c r="BN261" s="3"/>
      <c r="BO261" s="3"/>
    </row>
    <row r="262" ht="15.75" customHeight="1">
      <c r="E262" s="2"/>
      <c r="F262" s="2"/>
      <c r="G262" s="2"/>
      <c r="H262" s="2"/>
      <c r="I262" s="2"/>
      <c r="J262" s="6"/>
      <c r="BL262" s="3"/>
      <c r="BM262" s="3"/>
      <c r="BN262" s="3"/>
      <c r="BO262" s="3"/>
    </row>
    <row r="263" ht="15.75" customHeight="1">
      <c r="E263" s="2"/>
      <c r="F263" s="2"/>
      <c r="G263" s="2"/>
      <c r="H263" s="2"/>
      <c r="I263" s="2"/>
      <c r="J263" s="6"/>
      <c r="BL263" s="3"/>
      <c r="BM263" s="3"/>
      <c r="BN263" s="3"/>
      <c r="BO263" s="3"/>
    </row>
    <row r="264" ht="15.75" customHeight="1">
      <c r="E264" s="2"/>
      <c r="F264" s="2"/>
      <c r="G264" s="2"/>
      <c r="H264" s="2"/>
      <c r="I264" s="2"/>
      <c r="J264" s="6"/>
      <c r="BL264" s="3"/>
      <c r="BM264" s="3"/>
      <c r="BN264" s="3"/>
      <c r="BO264" s="3"/>
    </row>
    <row r="265" ht="15.75" customHeight="1">
      <c r="E265" s="2"/>
      <c r="F265" s="2"/>
      <c r="G265" s="2"/>
      <c r="H265" s="2"/>
      <c r="I265" s="2"/>
      <c r="J265" s="6"/>
      <c r="BL265" s="3"/>
      <c r="BM265" s="3"/>
      <c r="BN265" s="3"/>
      <c r="BO265" s="3"/>
    </row>
    <row r="266" ht="15.75" customHeight="1">
      <c r="E266" s="2"/>
      <c r="F266" s="2"/>
      <c r="G266" s="2"/>
      <c r="H266" s="2"/>
      <c r="I266" s="2"/>
      <c r="J266" s="6"/>
      <c r="BL266" s="3"/>
      <c r="BM266" s="3"/>
      <c r="BN266" s="3"/>
      <c r="BO266" s="3"/>
    </row>
    <row r="267" ht="15.75" customHeight="1">
      <c r="E267" s="2"/>
      <c r="F267" s="2"/>
      <c r="G267" s="2"/>
      <c r="H267" s="2"/>
      <c r="I267" s="2"/>
      <c r="J267" s="6"/>
      <c r="BL267" s="3"/>
      <c r="BM267" s="3"/>
      <c r="BN267" s="3"/>
      <c r="BO267" s="3"/>
    </row>
    <row r="268" ht="15.75" customHeight="1">
      <c r="E268" s="2"/>
      <c r="F268" s="2"/>
      <c r="G268" s="2"/>
      <c r="H268" s="2"/>
      <c r="I268" s="2"/>
      <c r="J268" s="6"/>
      <c r="BL268" s="3"/>
      <c r="BM268" s="3"/>
      <c r="BN268" s="3"/>
      <c r="BO268" s="3"/>
    </row>
    <row r="269" ht="15.75" customHeight="1">
      <c r="E269" s="2"/>
      <c r="F269" s="2"/>
      <c r="G269" s="2"/>
      <c r="H269" s="2"/>
      <c r="I269" s="2"/>
      <c r="J269" s="6"/>
      <c r="BL269" s="3"/>
      <c r="BM269" s="3"/>
      <c r="BN269" s="3"/>
      <c r="BO269" s="3"/>
    </row>
    <row r="270" ht="15.75" customHeight="1">
      <c r="E270" s="2"/>
      <c r="F270" s="2"/>
      <c r="G270" s="2"/>
      <c r="H270" s="2"/>
      <c r="I270" s="2"/>
      <c r="J270" s="6"/>
      <c r="BL270" s="3"/>
      <c r="BM270" s="3"/>
      <c r="BN270" s="3"/>
      <c r="BO270" s="3"/>
    </row>
    <row r="271" ht="15.75" customHeight="1">
      <c r="E271" s="2"/>
      <c r="F271" s="2"/>
      <c r="G271" s="2"/>
      <c r="H271" s="2"/>
      <c r="I271" s="2"/>
      <c r="J271" s="6"/>
      <c r="BL271" s="3"/>
      <c r="BM271" s="3"/>
      <c r="BN271" s="3"/>
      <c r="BO271" s="3"/>
    </row>
    <row r="272" ht="15.75" customHeight="1">
      <c r="E272" s="2"/>
      <c r="F272" s="2"/>
      <c r="G272" s="2"/>
      <c r="H272" s="2"/>
      <c r="I272" s="2"/>
      <c r="J272" s="6"/>
      <c r="BL272" s="3"/>
      <c r="BM272" s="3"/>
      <c r="BN272" s="3"/>
      <c r="BO272" s="3"/>
    </row>
    <row r="273" ht="15.75" customHeight="1">
      <c r="E273" s="2"/>
      <c r="F273" s="2"/>
      <c r="G273" s="2"/>
      <c r="H273" s="2"/>
      <c r="I273" s="2"/>
      <c r="J273" s="6"/>
      <c r="BL273" s="3"/>
      <c r="BM273" s="3"/>
      <c r="BN273" s="3"/>
      <c r="BO273" s="3"/>
    </row>
    <row r="274" ht="15.75" customHeight="1">
      <c r="E274" s="2"/>
      <c r="F274" s="2"/>
      <c r="G274" s="2"/>
      <c r="H274" s="2"/>
      <c r="I274" s="2"/>
      <c r="J274" s="6"/>
      <c r="BL274" s="3"/>
      <c r="BM274" s="3"/>
      <c r="BN274" s="3"/>
      <c r="BO274" s="3"/>
    </row>
    <row r="275" ht="15.75" customHeight="1">
      <c r="E275" s="2"/>
      <c r="F275" s="2"/>
      <c r="G275" s="2"/>
      <c r="H275" s="2"/>
      <c r="I275" s="2"/>
      <c r="J275" s="6"/>
      <c r="BL275" s="3"/>
      <c r="BM275" s="3"/>
      <c r="BN275" s="3"/>
      <c r="BO275" s="3"/>
    </row>
    <row r="276" ht="15.75" customHeight="1">
      <c r="E276" s="2"/>
      <c r="F276" s="2"/>
      <c r="G276" s="2"/>
      <c r="H276" s="2"/>
      <c r="I276" s="2"/>
      <c r="J276" s="6"/>
      <c r="BL276" s="3"/>
      <c r="BM276" s="3"/>
      <c r="BN276" s="3"/>
      <c r="BO276" s="3"/>
    </row>
    <row r="277" ht="15.75" customHeight="1">
      <c r="E277" s="2"/>
      <c r="F277" s="2"/>
      <c r="G277" s="2"/>
      <c r="H277" s="2"/>
      <c r="I277" s="2"/>
      <c r="J277" s="6"/>
      <c r="BL277" s="3"/>
      <c r="BM277" s="3"/>
      <c r="BN277" s="3"/>
      <c r="BO277" s="3"/>
    </row>
    <row r="278" ht="15.75" customHeight="1">
      <c r="E278" s="2"/>
      <c r="F278" s="2"/>
      <c r="G278" s="2"/>
      <c r="H278" s="2"/>
      <c r="I278" s="2"/>
      <c r="J278" s="6"/>
      <c r="BL278" s="3"/>
      <c r="BM278" s="3"/>
      <c r="BN278" s="3"/>
      <c r="BO278" s="3"/>
    </row>
    <row r="279" ht="15.75" customHeight="1">
      <c r="E279" s="2"/>
      <c r="F279" s="2"/>
      <c r="G279" s="2"/>
      <c r="H279" s="2"/>
      <c r="I279" s="2"/>
      <c r="J279" s="6"/>
      <c r="BL279" s="3"/>
      <c r="BM279" s="3"/>
      <c r="BN279" s="3"/>
      <c r="BO279" s="3"/>
    </row>
    <row r="280" ht="15.75" customHeight="1">
      <c r="E280" s="2"/>
      <c r="F280" s="2"/>
      <c r="G280" s="2"/>
      <c r="H280" s="2"/>
      <c r="I280" s="2"/>
      <c r="J280" s="6"/>
      <c r="BL280" s="3"/>
      <c r="BM280" s="3"/>
      <c r="BN280" s="3"/>
      <c r="BO280" s="3"/>
    </row>
    <row r="281" ht="15.75" customHeight="1">
      <c r="E281" s="2"/>
      <c r="F281" s="2"/>
      <c r="G281" s="2"/>
      <c r="H281" s="2"/>
      <c r="I281" s="2"/>
      <c r="J281" s="6"/>
      <c r="BL281" s="3"/>
      <c r="BM281" s="3"/>
      <c r="BN281" s="3"/>
      <c r="BO281" s="3"/>
    </row>
    <row r="282" ht="15.75" customHeight="1">
      <c r="E282" s="2"/>
      <c r="F282" s="2"/>
      <c r="G282" s="2"/>
      <c r="H282" s="2"/>
      <c r="I282" s="2"/>
      <c r="J282" s="6"/>
      <c r="BL282" s="3"/>
      <c r="BM282" s="3"/>
      <c r="BN282" s="3"/>
      <c r="BO282" s="3"/>
    </row>
    <row r="283" ht="15.75" customHeight="1">
      <c r="E283" s="2"/>
      <c r="F283" s="2"/>
      <c r="G283" s="2"/>
      <c r="H283" s="2"/>
      <c r="I283" s="2"/>
      <c r="J283" s="6"/>
      <c r="BL283" s="3"/>
      <c r="BM283" s="3"/>
      <c r="BN283" s="3"/>
      <c r="BO283" s="3"/>
    </row>
    <row r="284" ht="15.75" customHeight="1">
      <c r="E284" s="2"/>
      <c r="F284" s="2"/>
      <c r="G284" s="2"/>
      <c r="H284" s="2"/>
      <c r="I284" s="2"/>
      <c r="J284" s="6"/>
      <c r="BL284" s="3"/>
      <c r="BM284" s="3"/>
      <c r="BN284" s="3"/>
      <c r="BO284" s="3"/>
    </row>
    <row r="285" ht="15.75" customHeight="1">
      <c r="E285" s="2"/>
      <c r="F285" s="2"/>
      <c r="G285" s="2"/>
      <c r="H285" s="2"/>
      <c r="I285" s="2"/>
      <c r="J285" s="6"/>
      <c r="BL285" s="3"/>
      <c r="BM285" s="3"/>
      <c r="BN285" s="3"/>
      <c r="BO285" s="3"/>
    </row>
    <row r="286" ht="15.75" customHeight="1">
      <c r="E286" s="2"/>
      <c r="F286" s="2"/>
      <c r="G286" s="2"/>
      <c r="H286" s="2"/>
      <c r="I286" s="2"/>
      <c r="J286" s="6"/>
      <c r="BL286" s="3"/>
      <c r="BM286" s="3"/>
      <c r="BN286" s="3"/>
      <c r="BO286" s="3"/>
    </row>
    <row r="287" ht="15.75" customHeight="1">
      <c r="E287" s="2"/>
      <c r="F287" s="2"/>
      <c r="G287" s="2"/>
      <c r="H287" s="2"/>
      <c r="I287" s="2"/>
      <c r="J287" s="6"/>
      <c r="BL287" s="3"/>
      <c r="BM287" s="3"/>
      <c r="BN287" s="3"/>
      <c r="BO287" s="3"/>
    </row>
    <row r="288" ht="15.75" customHeight="1">
      <c r="E288" s="2"/>
      <c r="F288" s="2"/>
      <c r="G288" s="2"/>
      <c r="H288" s="2"/>
      <c r="I288" s="2"/>
      <c r="J288" s="6"/>
      <c r="BL288" s="3"/>
      <c r="BM288" s="3"/>
      <c r="BN288" s="3"/>
      <c r="BO288" s="3"/>
    </row>
    <row r="289" ht="15.75" customHeight="1">
      <c r="E289" s="2"/>
      <c r="F289" s="2"/>
      <c r="G289" s="2"/>
      <c r="H289" s="2"/>
      <c r="I289" s="2"/>
      <c r="J289" s="6"/>
      <c r="BL289" s="3"/>
      <c r="BM289" s="3"/>
      <c r="BN289" s="3"/>
      <c r="BO289" s="3"/>
    </row>
    <row r="290" ht="15.75" customHeight="1">
      <c r="E290" s="2"/>
      <c r="F290" s="2"/>
      <c r="G290" s="2"/>
      <c r="H290" s="2"/>
      <c r="I290" s="2"/>
      <c r="J290" s="6"/>
      <c r="BL290" s="3"/>
      <c r="BM290" s="3"/>
      <c r="BN290" s="3"/>
      <c r="BO290" s="3"/>
    </row>
    <row r="291" ht="15.75" customHeight="1">
      <c r="E291" s="2"/>
      <c r="F291" s="2"/>
      <c r="G291" s="2"/>
      <c r="H291" s="2"/>
      <c r="I291" s="2"/>
      <c r="J291" s="6"/>
      <c r="BL291" s="3"/>
      <c r="BM291" s="3"/>
      <c r="BN291" s="3"/>
      <c r="BO291" s="3"/>
    </row>
    <row r="292" ht="15.75" customHeight="1">
      <c r="E292" s="2"/>
      <c r="F292" s="2"/>
      <c r="G292" s="2"/>
      <c r="H292" s="2"/>
      <c r="I292" s="2"/>
      <c r="J292" s="6"/>
      <c r="BL292" s="3"/>
      <c r="BM292" s="3"/>
      <c r="BN292" s="3"/>
      <c r="BO292" s="3"/>
    </row>
    <row r="293" ht="15.75" customHeight="1">
      <c r="E293" s="2"/>
      <c r="F293" s="2"/>
      <c r="G293" s="2"/>
      <c r="H293" s="2"/>
      <c r="I293" s="2"/>
      <c r="J293" s="6"/>
      <c r="BL293" s="3"/>
      <c r="BM293" s="3"/>
      <c r="BN293" s="3"/>
      <c r="BO293" s="3"/>
    </row>
    <row r="294" ht="15.75" customHeight="1">
      <c r="E294" s="2"/>
      <c r="F294" s="2"/>
      <c r="G294" s="2"/>
      <c r="H294" s="2"/>
      <c r="I294" s="2"/>
      <c r="J294" s="6"/>
      <c r="BL294" s="3"/>
      <c r="BM294" s="3"/>
      <c r="BN294" s="3"/>
      <c r="BO294" s="3"/>
    </row>
    <row r="295" ht="15.75" customHeight="1">
      <c r="E295" s="2"/>
      <c r="F295" s="2"/>
      <c r="G295" s="2"/>
      <c r="H295" s="2"/>
      <c r="I295" s="2"/>
      <c r="J295" s="6"/>
      <c r="BL295" s="3"/>
      <c r="BM295" s="3"/>
      <c r="BN295" s="3"/>
      <c r="BO295" s="3"/>
    </row>
    <row r="296" ht="15.75" customHeight="1">
      <c r="E296" s="2"/>
      <c r="F296" s="2"/>
      <c r="G296" s="2"/>
      <c r="H296" s="2"/>
      <c r="I296" s="2"/>
      <c r="J296" s="6"/>
      <c r="BL296" s="3"/>
      <c r="BM296" s="3"/>
      <c r="BN296" s="3"/>
      <c r="BO296" s="3"/>
    </row>
    <row r="297" ht="15.75" customHeight="1">
      <c r="E297" s="2"/>
      <c r="F297" s="2"/>
      <c r="G297" s="2"/>
      <c r="H297" s="2"/>
      <c r="I297" s="2"/>
      <c r="J297" s="6"/>
      <c r="BL297" s="3"/>
      <c r="BM297" s="3"/>
      <c r="BN297" s="3"/>
      <c r="BO297" s="3"/>
    </row>
    <row r="298" ht="15.75" customHeight="1">
      <c r="E298" s="2"/>
      <c r="F298" s="2"/>
      <c r="G298" s="2"/>
      <c r="H298" s="2"/>
      <c r="I298" s="2"/>
      <c r="J298" s="6"/>
      <c r="BL298" s="3"/>
      <c r="BM298" s="3"/>
      <c r="BN298" s="3"/>
      <c r="BO298" s="3"/>
    </row>
    <row r="299" ht="15.75" customHeight="1">
      <c r="E299" s="2"/>
      <c r="F299" s="2"/>
      <c r="G299" s="2"/>
      <c r="H299" s="2"/>
      <c r="I299" s="2"/>
      <c r="J299" s="6"/>
      <c r="BL299" s="3"/>
      <c r="BM299" s="3"/>
      <c r="BN299" s="3"/>
      <c r="BO299" s="3"/>
    </row>
    <row r="300" ht="15.75" customHeight="1">
      <c r="E300" s="2"/>
      <c r="F300" s="2"/>
      <c r="G300" s="2"/>
      <c r="H300" s="2"/>
      <c r="I300" s="2"/>
      <c r="J300" s="6"/>
      <c r="BL300" s="3"/>
      <c r="BM300" s="3"/>
      <c r="BN300" s="3"/>
      <c r="BO300" s="3"/>
    </row>
    <row r="301" ht="15.75" customHeight="1">
      <c r="E301" s="2"/>
      <c r="F301" s="2"/>
      <c r="G301" s="2"/>
      <c r="H301" s="2"/>
      <c r="I301" s="2"/>
      <c r="J301" s="6"/>
      <c r="BL301" s="3"/>
      <c r="BM301" s="3"/>
      <c r="BN301" s="3"/>
      <c r="BO301" s="3"/>
    </row>
    <row r="302" ht="15.75" customHeight="1">
      <c r="E302" s="2"/>
      <c r="F302" s="2"/>
      <c r="G302" s="2"/>
      <c r="H302" s="2"/>
      <c r="I302" s="2"/>
      <c r="J302" s="6"/>
      <c r="BL302" s="3"/>
      <c r="BM302" s="3"/>
      <c r="BN302" s="3"/>
      <c r="BO302" s="3"/>
    </row>
    <row r="303" ht="15.75" customHeight="1">
      <c r="E303" s="2"/>
      <c r="F303" s="2"/>
      <c r="G303" s="2"/>
      <c r="H303" s="2"/>
      <c r="I303" s="2"/>
      <c r="J303" s="6"/>
      <c r="BL303" s="3"/>
      <c r="BM303" s="3"/>
      <c r="BN303" s="3"/>
      <c r="BO303" s="3"/>
    </row>
    <row r="304" ht="15.75" customHeight="1">
      <c r="E304" s="2"/>
      <c r="F304" s="2"/>
      <c r="G304" s="2"/>
      <c r="H304" s="2"/>
      <c r="I304" s="2"/>
      <c r="J304" s="6"/>
      <c r="BL304" s="3"/>
      <c r="BM304" s="3"/>
      <c r="BN304" s="3"/>
      <c r="BO304" s="3"/>
    </row>
    <row r="305" ht="15.75" customHeight="1">
      <c r="E305" s="2"/>
      <c r="F305" s="2"/>
      <c r="G305" s="2"/>
      <c r="H305" s="2"/>
      <c r="I305" s="2"/>
      <c r="J305" s="6"/>
      <c r="BL305" s="3"/>
      <c r="BM305" s="3"/>
      <c r="BN305" s="3"/>
      <c r="BO305" s="3"/>
    </row>
    <row r="306" ht="15.75" customHeight="1">
      <c r="E306" s="2"/>
      <c r="F306" s="2"/>
      <c r="G306" s="2"/>
      <c r="H306" s="2"/>
      <c r="I306" s="2"/>
      <c r="J306" s="6"/>
      <c r="BL306" s="3"/>
      <c r="BM306" s="3"/>
      <c r="BN306" s="3"/>
      <c r="BO306" s="3"/>
    </row>
    <row r="307" ht="15.75" customHeight="1">
      <c r="E307" s="2"/>
      <c r="F307" s="2"/>
      <c r="G307" s="2"/>
      <c r="H307" s="2"/>
      <c r="I307" s="2"/>
      <c r="J307" s="6"/>
      <c r="BL307" s="3"/>
      <c r="BM307" s="3"/>
      <c r="BN307" s="3"/>
      <c r="BO307" s="3"/>
    </row>
    <row r="308" ht="15.75" customHeight="1">
      <c r="E308" s="2"/>
      <c r="F308" s="2"/>
      <c r="G308" s="2"/>
      <c r="H308" s="2"/>
      <c r="I308" s="2"/>
      <c r="J308" s="6"/>
      <c r="BL308" s="3"/>
      <c r="BM308" s="3"/>
      <c r="BN308" s="3"/>
      <c r="BO308" s="3"/>
    </row>
    <row r="309" ht="15.75" customHeight="1">
      <c r="E309" s="2"/>
      <c r="F309" s="2"/>
      <c r="G309" s="2"/>
      <c r="H309" s="2"/>
      <c r="I309" s="2"/>
      <c r="J309" s="6"/>
      <c r="BL309" s="3"/>
      <c r="BM309" s="3"/>
      <c r="BN309" s="3"/>
      <c r="BO309" s="3"/>
    </row>
    <row r="310" ht="15.75" customHeight="1">
      <c r="E310" s="2"/>
      <c r="F310" s="2"/>
      <c r="G310" s="2"/>
      <c r="H310" s="2"/>
      <c r="I310" s="2"/>
      <c r="J310" s="6"/>
      <c r="BL310" s="3"/>
      <c r="BM310" s="3"/>
      <c r="BN310" s="3"/>
      <c r="BO310" s="3"/>
    </row>
    <row r="311" ht="15.75" customHeight="1">
      <c r="E311" s="2"/>
      <c r="F311" s="2"/>
      <c r="G311" s="2"/>
      <c r="H311" s="2"/>
      <c r="I311" s="2"/>
      <c r="J311" s="6"/>
      <c r="BL311" s="3"/>
      <c r="BM311" s="3"/>
      <c r="BN311" s="3"/>
      <c r="BO311" s="3"/>
    </row>
    <row r="312" ht="15.75" customHeight="1">
      <c r="E312" s="2"/>
      <c r="F312" s="2"/>
      <c r="G312" s="2"/>
      <c r="H312" s="2"/>
      <c r="I312" s="2"/>
      <c r="J312" s="6"/>
      <c r="BL312" s="3"/>
      <c r="BM312" s="3"/>
      <c r="BN312" s="3"/>
      <c r="BO312" s="3"/>
    </row>
    <row r="313" ht="15.75" customHeight="1">
      <c r="E313" s="2"/>
      <c r="F313" s="2"/>
      <c r="G313" s="2"/>
      <c r="H313" s="2"/>
      <c r="I313" s="2"/>
      <c r="J313" s="6"/>
      <c r="BL313" s="3"/>
      <c r="BM313" s="3"/>
      <c r="BN313" s="3"/>
      <c r="BO313" s="3"/>
    </row>
    <row r="314" ht="15.75" customHeight="1">
      <c r="E314" s="2"/>
      <c r="F314" s="2"/>
      <c r="G314" s="2"/>
      <c r="H314" s="2"/>
      <c r="I314" s="2"/>
      <c r="J314" s="6"/>
      <c r="BL314" s="3"/>
      <c r="BM314" s="3"/>
      <c r="BN314" s="3"/>
      <c r="BO314" s="3"/>
    </row>
    <row r="315" ht="15.75" customHeight="1">
      <c r="E315" s="2"/>
      <c r="F315" s="2"/>
      <c r="G315" s="2"/>
      <c r="H315" s="2"/>
      <c r="I315" s="2"/>
      <c r="J315" s="6"/>
      <c r="BL315" s="3"/>
      <c r="BM315" s="3"/>
      <c r="BN315" s="3"/>
      <c r="BO315" s="3"/>
    </row>
    <row r="316" ht="15.75" customHeight="1">
      <c r="E316" s="2"/>
      <c r="F316" s="2"/>
      <c r="G316" s="2"/>
      <c r="H316" s="2"/>
      <c r="I316" s="2"/>
      <c r="J316" s="6"/>
      <c r="BL316" s="3"/>
      <c r="BM316" s="3"/>
      <c r="BN316" s="3"/>
      <c r="BO316" s="3"/>
    </row>
    <row r="317" ht="15.75" customHeight="1">
      <c r="E317" s="2"/>
      <c r="F317" s="2"/>
      <c r="G317" s="2"/>
      <c r="H317" s="2"/>
      <c r="I317" s="2"/>
      <c r="J317" s="6"/>
      <c r="BL317" s="3"/>
      <c r="BM317" s="3"/>
      <c r="BN317" s="3"/>
      <c r="BO317" s="3"/>
    </row>
    <row r="318" ht="15.75" customHeight="1">
      <c r="E318" s="2"/>
      <c r="F318" s="2"/>
      <c r="G318" s="2"/>
      <c r="H318" s="2"/>
      <c r="I318" s="2"/>
      <c r="J318" s="6"/>
      <c r="BL318" s="3"/>
      <c r="BM318" s="3"/>
      <c r="BN318" s="3"/>
      <c r="BO318" s="3"/>
    </row>
    <row r="319" ht="15.75" customHeight="1">
      <c r="E319" s="2"/>
      <c r="F319" s="2"/>
      <c r="G319" s="2"/>
      <c r="H319" s="2"/>
      <c r="I319" s="2"/>
      <c r="J319" s="6"/>
      <c r="BL319" s="3"/>
      <c r="BM319" s="3"/>
      <c r="BN319" s="3"/>
      <c r="BO319" s="3"/>
    </row>
    <row r="320" ht="15.75" customHeight="1">
      <c r="E320" s="2"/>
      <c r="F320" s="2"/>
      <c r="G320" s="2"/>
      <c r="H320" s="2"/>
      <c r="I320" s="2"/>
      <c r="J320" s="6"/>
      <c r="BL320" s="3"/>
      <c r="BM320" s="3"/>
      <c r="BN320" s="3"/>
      <c r="BO320" s="3"/>
    </row>
    <row r="321" ht="15.75" customHeight="1">
      <c r="E321" s="2"/>
      <c r="F321" s="2"/>
      <c r="G321" s="2"/>
      <c r="H321" s="2"/>
      <c r="I321" s="2"/>
      <c r="J321" s="6"/>
      <c r="BL321" s="3"/>
      <c r="BM321" s="3"/>
      <c r="BN321" s="3"/>
      <c r="BO321" s="3"/>
    </row>
    <row r="322" ht="15.75" customHeight="1">
      <c r="E322" s="2"/>
      <c r="F322" s="2"/>
      <c r="G322" s="2"/>
      <c r="H322" s="2"/>
      <c r="I322" s="2"/>
      <c r="J322" s="6"/>
      <c r="BL322" s="3"/>
      <c r="BM322" s="3"/>
      <c r="BN322" s="3"/>
      <c r="BO322" s="3"/>
    </row>
    <row r="323" ht="15.75" customHeight="1">
      <c r="E323" s="2"/>
      <c r="F323" s="2"/>
      <c r="G323" s="2"/>
      <c r="H323" s="2"/>
      <c r="I323" s="2"/>
      <c r="J323" s="6"/>
      <c r="BL323" s="3"/>
      <c r="BM323" s="3"/>
      <c r="BN323" s="3"/>
      <c r="BO323" s="3"/>
    </row>
    <row r="324" ht="15.75" customHeight="1">
      <c r="E324" s="2"/>
      <c r="F324" s="2"/>
      <c r="G324" s="2"/>
      <c r="H324" s="2"/>
      <c r="I324" s="2"/>
      <c r="J324" s="6"/>
      <c r="BL324" s="3"/>
      <c r="BM324" s="3"/>
      <c r="BN324" s="3"/>
      <c r="BO324" s="3"/>
    </row>
    <row r="325" ht="15.75" customHeight="1">
      <c r="E325" s="2"/>
      <c r="F325" s="2"/>
      <c r="G325" s="2"/>
      <c r="H325" s="2"/>
      <c r="I325" s="2"/>
      <c r="J325" s="6"/>
      <c r="BL325" s="3"/>
      <c r="BM325" s="3"/>
      <c r="BN325" s="3"/>
      <c r="BO325" s="3"/>
    </row>
    <row r="326" ht="15.75" customHeight="1">
      <c r="E326" s="2"/>
      <c r="F326" s="2"/>
      <c r="G326" s="2"/>
      <c r="H326" s="2"/>
      <c r="I326" s="2"/>
      <c r="J326" s="6"/>
      <c r="BL326" s="3"/>
      <c r="BM326" s="3"/>
      <c r="BN326" s="3"/>
      <c r="BO326" s="3"/>
    </row>
    <row r="327" ht="15.75" customHeight="1">
      <c r="E327" s="2"/>
      <c r="F327" s="2"/>
      <c r="G327" s="2"/>
      <c r="H327" s="2"/>
      <c r="I327" s="2"/>
      <c r="J327" s="6"/>
      <c r="BL327" s="3"/>
      <c r="BM327" s="3"/>
      <c r="BN327" s="3"/>
      <c r="BO327" s="3"/>
    </row>
    <row r="328" ht="15.75" customHeight="1">
      <c r="E328" s="2"/>
      <c r="F328" s="2"/>
      <c r="G328" s="2"/>
      <c r="H328" s="2"/>
      <c r="I328" s="2"/>
      <c r="J328" s="6"/>
      <c r="BL328" s="3"/>
      <c r="BM328" s="3"/>
      <c r="BN328" s="3"/>
      <c r="BO328" s="3"/>
    </row>
    <row r="329" ht="15.75" customHeight="1">
      <c r="E329" s="2"/>
      <c r="F329" s="2"/>
      <c r="G329" s="2"/>
      <c r="H329" s="2"/>
      <c r="I329" s="2"/>
      <c r="J329" s="6"/>
      <c r="BL329" s="3"/>
      <c r="BM329" s="3"/>
      <c r="BN329" s="3"/>
      <c r="BO329" s="3"/>
    </row>
    <row r="330" ht="15.75" customHeight="1">
      <c r="E330" s="2"/>
      <c r="F330" s="2"/>
      <c r="G330" s="2"/>
      <c r="H330" s="2"/>
      <c r="I330" s="2"/>
      <c r="J330" s="6"/>
      <c r="BL330" s="3"/>
      <c r="BM330" s="3"/>
      <c r="BN330" s="3"/>
      <c r="BO330" s="3"/>
    </row>
    <row r="331" ht="15.75" customHeight="1">
      <c r="E331" s="2"/>
      <c r="F331" s="2"/>
      <c r="G331" s="2"/>
      <c r="H331" s="2"/>
      <c r="I331" s="2"/>
      <c r="J331" s="6"/>
      <c r="BL331" s="3"/>
      <c r="BM331" s="3"/>
      <c r="BN331" s="3"/>
      <c r="BO331" s="3"/>
    </row>
    <row r="332" ht="15.75" customHeight="1">
      <c r="E332" s="2"/>
      <c r="F332" s="2"/>
      <c r="G332" s="2"/>
      <c r="H332" s="2"/>
      <c r="I332" s="2"/>
      <c r="J332" s="6"/>
      <c r="BL332" s="3"/>
      <c r="BM332" s="3"/>
      <c r="BN332" s="3"/>
      <c r="BO332" s="3"/>
    </row>
    <row r="333" ht="15.75" customHeight="1">
      <c r="E333" s="2"/>
      <c r="F333" s="2"/>
      <c r="G333" s="2"/>
      <c r="H333" s="2"/>
      <c r="I333" s="2"/>
      <c r="J333" s="6"/>
      <c r="BL333" s="3"/>
      <c r="BM333" s="3"/>
      <c r="BN333" s="3"/>
      <c r="BO333" s="3"/>
    </row>
    <row r="334" ht="15.75" customHeight="1">
      <c r="E334" s="2"/>
      <c r="F334" s="2"/>
      <c r="G334" s="2"/>
      <c r="H334" s="2"/>
      <c r="I334" s="2"/>
      <c r="J334" s="6"/>
      <c r="BL334" s="3"/>
      <c r="BM334" s="3"/>
      <c r="BN334" s="3"/>
      <c r="BO334" s="3"/>
    </row>
    <row r="335" ht="15.75" customHeight="1">
      <c r="E335" s="2"/>
      <c r="F335" s="2"/>
      <c r="G335" s="2"/>
      <c r="H335" s="2"/>
      <c r="I335" s="2"/>
      <c r="J335" s="6"/>
      <c r="BL335" s="3"/>
      <c r="BM335" s="3"/>
      <c r="BN335" s="3"/>
      <c r="BO335" s="3"/>
    </row>
    <row r="336" ht="15.75" customHeight="1">
      <c r="E336" s="2"/>
      <c r="F336" s="2"/>
      <c r="G336" s="2"/>
      <c r="H336" s="2"/>
      <c r="I336" s="2"/>
      <c r="J336" s="6"/>
      <c r="BL336" s="3"/>
      <c r="BM336" s="3"/>
      <c r="BN336" s="3"/>
      <c r="BO336" s="3"/>
    </row>
    <row r="337" ht="15.75" customHeight="1">
      <c r="E337" s="2"/>
      <c r="F337" s="2"/>
      <c r="G337" s="2"/>
      <c r="H337" s="2"/>
      <c r="I337" s="2"/>
      <c r="J337" s="6"/>
      <c r="BL337" s="3"/>
      <c r="BM337" s="3"/>
      <c r="BN337" s="3"/>
      <c r="BO337" s="3"/>
    </row>
    <row r="338" ht="15.75" customHeight="1">
      <c r="E338" s="2"/>
      <c r="F338" s="2"/>
      <c r="G338" s="2"/>
      <c r="H338" s="2"/>
      <c r="I338" s="2"/>
      <c r="J338" s="6"/>
      <c r="BL338" s="3"/>
      <c r="BM338" s="3"/>
      <c r="BN338" s="3"/>
      <c r="BO338" s="3"/>
    </row>
    <row r="339" ht="15.75" customHeight="1">
      <c r="E339" s="2"/>
      <c r="F339" s="2"/>
      <c r="G339" s="2"/>
      <c r="H339" s="2"/>
      <c r="I339" s="2"/>
      <c r="J339" s="6"/>
      <c r="BL339" s="3"/>
      <c r="BM339" s="3"/>
      <c r="BN339" s="3"/>
      <c r="BO339" s="3"/>
    </row>
    <row r="340" ht="15.75" customHeight="1">
      <c r="E340" s="2"/>
      <c r="F340" s="2"/>
      <c r="G340" s="2"/>
      <c r="H340" s="2"/>
      <c r="I340" s="2"/>
      <c r="J340" s="6"/>
      <c r="BL340" s="3"/>
      <c r="BM340" s="3"/>
      <c r="BN340" s="3"/>
      <c r="BO340" s="3"/>
    </row>
    <row r="341" ht="15.75" customHeight="1">
      <c r="E341" s="2"/>
      <c r="F341" s="2"/>
      <c r="G341" s="2"/>
      <c r="H341" s="2"/>
      <c r="I341" s="2"/>
      <c r="J341" s="6"/>
      <c r="BL341" s="3"/>
      <c r="BM341" s="3"/>
      <c r="BN341" s="3"/>
      <c r="BO341" s="3"/>
    </row>
    <row r="342" ht="15.75" customHeight="1">
      <c r="E342" s="2"/>
      <c r="F342" s="2"/>
      <c r="G342" s="2"/>
      <c r="H342" s="2"/>
      <c r="I342" s="2"/>
      <c r="J342" s="6"/>
      <c r="BL342" s="3"/>
      <c r="BM342" s="3"/>
      <c r="BN342" s="3"/>
      <c r="BO342" s="3"/>
    </row>
    <row r="343" ht="15.75" customHeight="1">
      <c r="E343" s="2"/>
      <c r="F343" s="2"/>
      <c r="G343" s="2"/>
      <c r="H343" s="2"/>
      <c r="I343" s="2"/>
      <c r="J343" s="6"/>
      <c r="BL343" s="3"/>
      <c r="BM343" s="3"/>
      <c r="BN343" s="3"/>
      <c r="BO343" s="3"/>
    </row>
    <row r="344" ht="15.75" customHeight="1">
      <c r="E344" s="2"/>
      <c r="F344" s="2"/>
      <c r="G344" s="2"/>
      <c r="H344" s="2"/>
      <c r="I344" s="2"/>
      <c r="J344" s="6"/>
      <c r="BL344" s="3"/>
      <c r="BM344" s="3"/>
      <c r="BN344" s="3"/>
      <c r="BO344" s="3"/>
    </row>
    <row r="345" ht="15.75" customHeight="1">
      <c r="E345" s="2"/>
      <c r="F345" s="2"/>
      <c r="G345" s="2"/>
      <c r="H345" s="2"/>
      <c r="I345" s="2"/>
      <c r="J345" s="6"/>
      <c r="BL345" s="3"/>
      <c r="BM345" s="3"/>
      <c r="BN345" s="3"/>
      <c r="BO345" s="3"/>
    </row>
    <row r="346" ht="15.75" customHeight="1">
      <c r="E346" s="2"/>
      <c r="F346" s="2"/>
      <c r="G346" s="2"/>
      <c r="H346" s="2"/>
      <c r="I346" s="2"/>
      <c r="J346" s="6"/>
      <c r="BL346" s="3"/>
      <c r="BM346" s="3"/>
      <c r="BN346" s="3"/>
      <c r="BO346" s="3"/>
    </row>
    <row r="347" ht="15.75" customHeight="1">
      <c r="E347" s="2"/>
      <c r="F347" s="2"/>
      <c r="G347" s="2"/>
      <c r="H347" s="2"/>
      <c r="I347" s="2"/>
      <c r="J347" s="6"/>
      <c r="BL347" s="3"/>
      <c r="BM347" s="3"/>
      <c r="BN347" s="3"/>
      <c r="BO347" s="3"/>
    </row>
    <row r="348" ht="15.75" customHeight="1">
      <c r="E348" s="2"/>
      <c r="F348" s="2"/>
      <c r="G348" s="2"/>
      <c r="H348" s="2"/>
      <c r="I348" s="2"/>
      <c r="J348" s="6"/>
      <c r="BL348" s="3"/>
      <c r="BM348" s="3"/>
      <c r="BN348" s="3"/>
      <c r="BO348" s="3"/>
    </row>
    <row r="349" ht="15.75" customHeight="1">
      <c r="E349" s="2"/>
      <c r="F349" s="2"/>
      <c r="G349" s="2"/>
      <c r="H349" s="2"/>
      <c r="I349" s="2"/>
      <c r="J349" s="6"/>
      <c r="BL349" s="3"/>
      <c r="BM349" s="3"/>
      <c r="BN349" s="3"/>
      <c r="BO349" s="3"/>
    </row>
    <row r="350" ht="15.75" customHeight="1">
      <c r="E350" s="2"/>
      <c r="F350" s="2"/>
      <c r="G350" s="2"/>
      <c r="H350" s="2"/>
      <c r="I350" s="2"/>
      <c r="J350" s="6"/>
      <c r="BL350" s="3"/>
      <c r="BM350" s="3"/>
      <c r="BN350" s="3"/>
      <c r="BO350" s="3"/>
    </row>
    <row r="351" ht="15.75" customHeight="1">
      <c r="E351" s="2"/>
      <c r="F351" s="2"/>
      <c r="G351" s="2"/>
      <c r="H351" s="2"/>
      <c r="I351" s="2"/>
      <c r="J351" s="6"/>
      <c r="BL351" s="3"/>
      <c r="BM351" s="3"/>
      <c r="BN351" s="3"/>
      <c r="BO351" s="3"/>
    </row>
    <row r="352" ht="15.75" customHeight="1">
      <c r="E352" s="2"/>
      <c r="F352" s="2"/>
      <c r="G352" s="2"/>
      <c r="H352" s="2"/>
      <c r="I352" s="2"/>
      <c r="J352" s="6"/>
      <c r="BL352" s="3"/>
      <c r="BM352" s="3"/>
      <c r="BN352" s="3"/>
      <c r="BO352" s="3"/>
    </row>
    <row r="353" ht="15.75" customHeight="1">
      <c r="E353" s="2"/>
      <c r="F353" s="2"/>
      <c r="G353" s="2"/>
      <c r="H353" s="2"/>
      <c r="I353" s="2"/>
      <c r="J353" s="6"/>
      <c r="BL353" s="3"/>
      <c r="BM353" s="3"/>
      <c r="BN353" s="3"/>
      <c r="BO353" s="3"/>
    </row>
    <row r="354" ht="15.75" customHeight="1">
      <c r="E354" s="2"/>
      <c r="F354" s="2"/>
      <c r="G354" s="2"/>
      <c r="H354" s="2"/>
      <c r="I354" s="2"/>
      <c r="J354" s="6"/>
      <c r="BL354" s="3"/>
      <c r="BM354" s="3"/>
      <c r="BN354" s="3"/>
      <c r="BO354" s="3"/>
    </row>
    <row r="355" ht="15.75" customHeight="1">
      <c r="E355" s="2"/>
      <c r="F355" s="2"/>
      <c r="G355" s="2"/>
      <c r="H355" s="2"/>
      <c r="I355" s="2"/>
      <c r="J355" s="6"/>
      <c r="BL355" s="3"/>
      <c r="BM355" s="3"/>
      <c r="BN355" s="3"/>
      <c r="BO355" s="3"/>
    </row>
    <row r="356" ht="15.75" customHeight="1">
      <c r="E356" s="2"/>
      <c r="F356" s="2"/>
      <c r="G356" s="2"/>
      <c r="H356" s="2"/>
      <c r="I356" s="2"/>
      <c r="J356" s="6"/>
      <c r="BL356" s="3"/>
      <c r="BM356" s="3"/>
      <c r="BN356" s="3"/>
      <c r="BO356" s="3"/>
    </row>
    <row r="357" ht="15.75" customHeight="1">
      <c r="E357" s="2"/>
      <c r="F357" s="2"/>
      <c r="G357" s="2"/>
      <c r="H357" s="2"/>
      <c r="I357" s="2"/>
      <c r="J357" s="6"/>
      <c r="BL357" s="3"/>
      <c r="BM357" s="3"/>
      <c r="BN357" s="3"/>
      <c r="BO357" s="3"/>
    </row>
    <row r="358" ht="15.75" customHeight="1">
      <c r="E358" s="2"/>
      <c r="F358" s="2"/>
      <c r="G358" s="2"/>
      <c r="H358" s="2"/>
      <c r="I358" s="2"/>
      <c r="J358" s="6"/>
      <c r="BL358" s="3"/>
      <c r="BM358" s="3"/>
      <c r="BN358" s="3"/>
      <c r="BO358" s="3"/>
    </row>
    <row r="359" ht="15.75" customHeight="1">
      <c r="E359" s="2"/>
      <c r="F359" s="2"/>
      <c r="G359" s="2"/>
      <c r="H359" s="2"/>
      <c r="I359" s="2"/>
      <c r="J359" s="6"/>
      <c r="BL359" s="3"/>
      <c r="BM359" s="3"/>
      <c r="BN359" s="3"/>
      <c r="BO359" s="3"/>
    </row>
    <row r="360" ht="15.75" customHeight="1">
      <c r="E360" s="2"/>
      <c r="F360" s="2"/>
      <c r="G360" s="2"/>
      <c r="H360" s="2"/>
      <c r="I360" s="2"/>
      <c r="J360" s="6"/>
      <c r="BL360" s="3"/>
      <c r="BM360" s="3"/>
      <c r="BN360" s="3"/>
      <c r="BO360" s="3"/>
    </row>
    <row r="361" ht="15.75" customHeight="1">
      <c r="E361" s="2"/>
      <c r="F361" s="2"/>
      <c r="G361" s="2"/>
      <c r="H361" s="2"/>
      <c r="I361" s="2"/>
      <c r="J361" s="6"/>
      <c r="BL361" s="3"/>
      <c r="BM361" s="3"/>
      <c r="BN361" s="3"/>
      <c r="BO361" s="3"/>
    </row>
    <row r="362" ht="15.75" customHeight="1">
      <c r="E362" s="2"/>
      <c r="F362" s="2"/>
      <c r="G362" s="2"/>
      <c r="H362" s="2"/>
      <c r="I362" s="2"/>
      <c r="J362" s="6"/>
      <c r="BL362" s="3"/>
      <c r="BM362" s="3"/>
      <c r="BN362" s="3"/>
      <c r="BO362" s="3"/>
    </row>
    <row r="363" ht="15.75" customHeight="1">
      <c r="E363" s="2"/>
      <c r="F363" s="2"/>
      <c r="G363" s="2"/>
      <c r="H363" s="2"/>
      <c r="I363" s="2"/>
      <c r="J363" s="6"/>
      <c r="BL363" s="3"/>
      <c r="BM363" s="3"/>
      <c r="BN363" s="3"/>
      <c r="BO363" s="3"/>
    </row>
    <row r="364" ht="15.75" customHeight="1">
      <c r="E364" s="2"/>
      <c r="F364" s="2"/>
      <c r="G364" s="2"/>
      <c r="H364" s="2"/>
      <c r="I364" s="2"/>
      <c r="J364" s="6"/>
      <c r="BL364" s="3"/>
      <c r="BM364" s="3"/>
      <c r="BN364" s="3"/>
      <c r="BO364" s="3"/>
    </row>
    <row r="365" ht="15.75" customHeight="1">
      <c r="E365" s="2"/>
      <c r="F365" s="2"/>
      <c r="G365" s="2"/>
      <c r="H365" s="2"/>
      <c r="I365" s="2"/>
      <c r="J365" s="6"/>
      <c r="BL365" s="3"/>
      <c r="BM365" s="3"/>
      <c r="BN365" s="3"/>
      <c r="BO365" s="3"/>
    </row>
    <row r="366" ht="15.75" customHeight="1">
      <c r="E366" s="2"/>
      <c r="F366" s="2"/>
      <c r="G366" s="2"/>
      <c r="H366" s="2"/>
      <c r="I366" s="2"/>
      <c r="J366" s="6"/>
      <c r="BL366" s="3"/>
      <c r="BM366" s="3"/>
      <c r="BN366" s="3"/>
      <c r="BO366" s="3"/>
    </row>
    <row r="367" ht="15.75" customHeight="1">
      <c r="E367" s="2"/>
      <c r="F367" s="2"/>
      <c r="G367" s="2"/>
      <c r="H367" s="2"/>
      <c r="I367" s="2"/>
      <c r="J367" s="6"/>
      <c r="BL367" s="3"/>
      <c r="BM367" s="3"/>
      <c r="BN367" s="3"/>
      <c r="BO367" s="3"/>
    </row>
    <row r="368" ht="15.75" customHeight="1">
      <c r="E368" s="2"/>
      <c r="F368" s="2"/>
      <c r="G368" s="2"/>
      <c r="H368" s="2"/>
      <c r="I368" s="2"/>
      <c r="J368" s="6"/>
      <c r="BL368" s="3"/>
      <c r="BM368" s="3"/>
      <c r="BN368" s="3"/>
      <c r="BO368" s="3"/>
    </row>
    <row r="369" ht="15.75" customHeight="1">
      <c r="E369" s="2"/>
      <c r="F369" s="2"/>
      <c r="G369" s="2"/>
      <c r="H369" s="2"/>
      <c r="I369" s="2"/>
      <c r="J369" s="6"/>
      <c r="BL369" s="3"/>
      <c r="BM369" s="3"/>
      <c r="BN369" s="3"/>
      <c r="BO369" s="3"/>
    </row>
    <row r="370" ht="15.75" customHeight="1">
      <c r="E370" s="2"/>
      <c r="F370" s="2"/>
      <c r="G370" s="2"/>
      <c r="H370" s="2"/>
      <c r="I370" s="2"/>
      <c r="J370" s="6"/>
      <c r="BL370" s="3"/>
      <c r="BM370" s="3"/>
      <c r="BN370" s="3"/>
      <c r="BO370" s="3"/>
    </row>
    <row r="371" ht="15.75" customHeight="1">
      <c r="E371" s="2"/>
      <c r="F371" s="2"/>
      <c r="G371" s="2"/>
      <c r="H371" s="2"/>
      <c r="I371" s="2"/>
      <c r="J371" s="6"/>
      <c r="BL371" s="3"/>
      <c r="BM371" s="3"/>
      <c r="BN371" s="3"/>
      <c r="BO371" s="3"/>
    </row>
    <row r="372" ht="15.75" customHeight="1">
      <c r="E372" s="2"/>
      <c r="F372" s="2"/>
      <c r="G372" s="2"/>
      <c r="H372" s="2"/>
      <c r="I372" s="2"/>
      <c r="J372" s="6"/>
      <c r="BL372" s="3"/>
      <c r="BM372" s="3"/>
      <c r="BN372" s="3"/>
      <c r="BO372" s="3"/>
    </row>
    <row r="373" ht="15.75" customHeight="1">
      <c r="E373" s="2"/>
      <c r="F373" s="2"/>
      <c r="G373" s="2"/>
      <c r="H373" s="2"/>
      <c r="I373" s="2"/>
      <c r="J373" s="6"/>
      <c r="BL373" s="3"/>
      <c r="BM373" s="3"/>
      <c r="BN373" s="3"/>
      <c r="BO373" s="3"/>
    </row>
    <row r="374" ht="15.75" customHeight="1">
      <c r="E374" s="2"/>
      <c r="F374" s="2"/>
      <c r="G374" s="2"/>
      <c r="H374" s="2"/>
      <c r="I374" s="2"/>
      <c r="J374" s="6"/>
      <c r="BL374" s="3"/>
      <c r="BM374" s="3"/>
      <c r="BN374" s="3"/>
      <c r="BO374" s="3"/>
    </row>
    <row r="375" ht="15.75" customHeight="1">
      <c r="E375" s="2"/>
      <c r="F375" s="2"/>
      <c r="G375" s="2"/>
      <c r="H375" s="2"/>
      <c r="I375" s="2"/>
      <c r="J375" s="6"/>
      <c r="BL375" s="3"/>
      <c r="BM375" s="3"/>
      <c r="BN375" s="3"/>
      <c r="BO375" s="3"/>
    </row>
    <row r="376" ht="15.75" customHeight="1">
      <c r="E376" s="2"/>
      <c r="F376" s="2"/>
      <c r="G376" s="2"/>
      <c r="H376" s="2"/>
      <c r="I376" s="2"/>
      <c r="J376" s="6"/>
      <c r="BL376" s="3"/>
      <c r="BM376" s="3"/>
      <c r="BN376" s="3"/>
      <c r="BO376" s="3"/>
    </row>
    <row r="377" ht="15.75" customHeight="1">
      <c r="E377" s="2"/>
      <c r="F377" s="2"/>
      <c r="G377" s="2"/>
      <c r="H377" s="2"/>
      <c r="I377" s="2"/>
      <c r="J377" s="6"/>
      <c r="BL377" s="3"/>
      <c r="BM377" s="3"/>
      <c r="BN377" s="3"/>
      <c r="BO377" s="3"/>
    </row>
    <row r="378" ht="15.75" customHeight="1">
      <c r="E378" s="2"/>
      <c r="F378" s="2"/>
      <c r="G378" s="2"/>
      <c r="H378" s="2"/>
      <c r="I378" s="2"/>
      <c r="J378" s="6"/>
      <c r="BL378" s="3"/>
      <c r="BM378" s="3"/>
      <c r="BN378" s="3"/>
      <c r="BO378" s="3"/>
    </row>
    <row r="379" ht="15.75" customHeight="1">
      <c r="E379" s="2"/>
      <c r="F379" s="2"/>
      <c r="G379" s="2"/>
      <c r="H379" s="2"/>
      <c r="I379" s="2"/>
      <c r="J379" s="6"/>
      <c r="BL379" s="3"/>
      <c r="BM379" s="3"/>
      <c r="BN379" s="3"/>
      <c r="BO379" s="3"/>
    </row>
    <row r="380" ht="15.75" customHeight="1">
      <c r="E380" s="2"/>
      <c r="F380" s="2"/>
      <c r="G380" s="2"/>
      <c r="H380" s="2"/>
      <c r="I380" s="2"/>
      <c r="J380" s="6"/>
      <c r="BL380" s="3"/>
      <c r="BM380" s="3"/>
      <c r="BN380" s="3"/>
      <c r="BO380" s="3"/>
    </row>
    <row r="381" ht="15.75" customHeight="1">
      <c r="E381" s="2"/>
      <c r="F381" s="2"/>
      <c r="G381" s="2"/>
      <c r="H381" s="2"/>
      <c r="I381" s="2"/>
      <c r="J381" s="6"/>
      <c r="BL381" s="3"/>
      <c r="BM381" s="3"/>
      <c r="BN381" s="3"/>
      <c r="BO381" s="3"/>
    </row>
    <row r="382" ht="15.75" customHeight="1">
      <c r="E382" s="2"/>
      <c r="F382" s="2"/>
      <c r="G382" s="2"/>
      <c r="H382" s="2"/>
      <c r="I382" s="2"/>
      <c r="J382" s="6"/>
      <c r="BL382" s="3"/>
      <c r="BM382" s="3"/>
      <c r="BN382" s="3"/>
      <c r="BO382" s="3"/>
    </row>
    <row r="383" ht="15.75" customHeight="1">
      <c r="E383" s="2"/>
      <c r="F383" s="2"/>
      <c r="G383" s="2"/>
      <c r="H383" s="2"/>
      <c r="I383" s="2"/>
      <c r="J383" s="6"/>
      <c r="BL383" s="3"/>
      <c r="BM383" s="3"/>
      <c r="BN383" s="3"/>
      <c r="BO383" s="3"/>
    </row>
    <row r="384" ht="15.75" customHeight="1">
      <c r="E384" s="2"/>
      <c r="F384" s="2"/>
      <c r="G384" s="2"/>
      <c r="H384" s="2"/>
      <c r="I384" s="2"/>
      <c r="J384" s="6"/>
      <c r="BL384" s="3"/>
      <c r="BM384" s="3"/>
      <c r="BN384" s="3"/>
      <c r="BO384" s="3"/>
    </row>
    <row r="385" ht="15.75" customHeight="1">
      <c r="E385" s="2"/>
      <c r="F385" s="2"/>
      <c r="G385" s="2"/>
      <c r="H385" s="2"/>
      <c r="I385" s="2"/>
      <c r="J385" s="6"/>
      <c r="BL385" s="3"/>
      <c r="BM385" s="3"/>
      <c r="BN385" s="3"/>
      <c r="BO385" s="3"/>
    </row>
    <row r="386" ht="15.75" customHeight="1">
      <c r="E386" s="2"/>
      <c r="F386" s="2"/>
      <c r="G386" s="2"/>
      <c r="H386" s="2"/>
      <c r="I386" s="2"/>
      <c r="J386" s="6"/>
      <c r="BL386" s="3"/>
      <c r="BM386" s="3"/>
      <c r="BN386" s="3"/>
      <c r="BO386" s="3"/>
    </row>
    <row r="387" ht="15.75" customHeight="1">
      <c r="E387" s="2"/>
      <c r="F387" s="2"/>
      <c r="G387" s="2"/>
      <c r="H387" s="2"/>
      <c r="I387" s="2"/>
      <c r="J387" s="6"/>
      <c r="BL387" s="3"/>
      <c r="BM387" s="3"/>
      <c r="BN387" s="3"/>
      <c r="BO387" s="3"/>
    </row>
    <row r="388" ht="15.75" customHeight="1">
      <c r="E388" s="2"/>
      <c r="F388" s="2"/>
      <c r="G388" s="2"/>
      <c r="H388" s="2"/>
      <c r="I388" s="2"/>
      <c r="J388" s="6"/>
      <c r="BL388" s="3"/>
      <c r="BM388" s="3"/>
      <c r="BN388" s="3"/>
      <c r="BO388" s="3"/>
    </row>
    <row r="389" ht="15.75" customHeight="1">
      <c r="E389" s="2"/>
      <c r="F389" s="2"/>
      <c r="G389" s="2"/>
      <c r="H389" s="2"/>
      <c r="I389" s="2"/>
      <c r="J389" s="6"/>
      <c r="BL389" s="3"/>
      <c r="BM389" s="3"/>
      <c r="BN389" s="3"/>
      <c r="BO389" s="3"/>
    </row>
    <row r="390" ht="15.75" customHeight="1">
      <c r="E390" s="2"/>
      <c r="F390" s="2"/>
      <c r="G390" s="2"/>
      <c r="H390" s="2"/>
      <c r="I390" s="2"/>
      <c r="J390" s="6"/>
      <c r="BL390" s="3"/>
      <c r="BM390" s="3"/>
      <c r="BN390" s="3"/>
      <c r="BO390" s="3"/>
    </row>
    <row r="391" ht="15.75" customHeight="1">
      <c r="E391" s="2"/>
      <c r="F391" s="2"/>
      <c r="G391" s="2"/>
      <c r="H391" s="2"/>
      <c r="I391" s="2"/>
      <c r="J391" s="6"/>
      <c r="BL391" s="3"/>
      <c r="BM391" s="3"/>
      <c r="BN391" s="3"/>
      <c r="BO391" s="3"/>
    </row>
    <row r="392" ht="15.75" customHeight="1">
      <c r="E392" s="2"/>
      <c r="F392" s="2"/>
      <c r="G392" s="2"/>
      <c r="H392" s="2"/>
      <c r="I392" s="2"/>
      <c r="J392" s="6"/>
      <c r="BL392" s="3"/>
      <c r="BM392" s="3"/>
      <c r="BN392" s="3"/>
      <c r="BO392" s="3"/>
    </row>
    <row r="393" ht="15.75" customHeight="1">
      <c r="E393" s="2"/>
      <c r="F393" s="2"/>
      <c r="G393" s="2"/>
      <c r="H393" s="2"/>
      <c r="I393" s="2"/>
      <c r="J393" s="6"/>
      <c r="BL393" s="3"/>
      <c r="BM393" s="3"/>
      <c r="BN393" s="3"/>
      <c r="BO393" s="3"/>
    </row>
    <row r="394" ht="15.75" customHeight="1">
      <c r="E394" s="2"/>
      <c r="F394" s="2"/>
      <c r="G394" s="2"/>
      <c r="H394" s="2"/>
      <c r="I394" s="2"/>
      <c r="J394" s="6"/>
      <c r="BL394" s="3"/>
      <c r="BM394" s="3"/>
      <c r="BN394" s="3"/>
      <c r="BO394" s="3"/>
    </row>
    <row r="395" ht="15.75" customHeight="1">
      <c r="E395" s="2"/>
      <c r="F395" s="2"/>
      <c r="G395" s="2"/>
      <c r="H395" s="2"/>
      <c r="I395" s="2"/>
      <c r="J395" s="6"/>
      <c r="BL395" s="3"/>
      <c r="BM395" s="3"/>
      <c r="BN395" s="3"/>
      <c r="BO395" s="3"/>
    </row>
    <row r="396" ht="15.75" customHeight="1">
      <c r="E396" s="2"/>
      <c r="F396" s="2"/>
      <c r="G396" s="2"/>
      <c r="H396" s="2"/>
      <c r="I396" s="2"/>
      <c r="J396" s="6"/>
      <c r="BL396" s="3"/>
      <c r="BM396" s="3"/>
      <c r="BN396" s="3"/>
      <c r="BO396" s="3"/>
    </row>
    <row r="397" ht="15.75" customHeight="1">
      <c r="E397" s="2"/>
      <c r="F397" s="2"/>
      <c r="G397" s="2"/>
      <c r="H397" s="2"/>
      <c r="I397" s="2"/>
      <c r="J397" s="6"/>
      <c r="BL397" s="3"/>
      <c r="BM397" s="3"/>
      <c r="BN397" s="3"/>
      <c r="BO397" s="3"/>
    </row>
    <row r="398" ht="15.75" customHeight="1">
      <c r="E398" s="2"/>
      <c r="F398" s="2"/>
      <c r="G398" s="2"/>
      <c r="H398" s="2"/>
      <c r="I398" s="2"/>
      <c r="J398" s="6"/>
      <c r="BL398" s="3"/>
      <c r="BM398" s="3"/>
      <c r="BN398" s="3"/>
      <c r="BO398" s="3"/>
    </row>
    <row r="399" ht="15.75" customHeight="1">
      <c r="E399" s="2"/>
      <c r="F399" s="2"/>
      <c r="G399" s="2"/>
      <c r="H399" s="2"/>
      <c r="I399" s="2"/>
      <c r="J399" s="6"/>
      <c r="BL399" s="3"/>
      <c r="BM399" s="3"/>
      <c r="BN399" s="3"/>
      <c r="BO399" s="3"/>
    </row>
    <row r="400" ht="15.75" customHeight="1">
      <c r="E400" s="2"/>
      <c r="F400" s="2"/>
      <c r="G400" s="2"/>
      <c r="H400" s="2"/>
      <c r="I400" s="2"/>
      <c r="J400" s="6"/>
      <c r="BL400" s="3"/>
      <c r="BM400" s="3"/>
      <c r="BN400" s="3"/>
      <c r="BO400" s="3"/>
    </row>
    <row r="401" ht="15.75" customHeight="1">
      <c r="E401" s="2"/>
      <c r="F401" s="2"/>
      <c r="G401" s="2"/>
      <c r="H401" s="2"/>
      <c r="I401" s="2"/>
      <c r="J401" s="6"/>
      <c r="BL401" s="3"/>
      <c r="BM401" s="3"/>
      <c r="BN401" s="3"/>
      <c r="BO401" s="3"/>
    </row>
    <row r="402" ht="15.75" customHeight="1">
      <c r="E402" s="2"/>
      <c r="F402" s="2"/>
      <c r="G402" s="2"/>
      <c r="H402" s="2"/>
      <c r="I402" s="2"/>
      <c r="J402" s="6"/>
      <c r="BL402" s="3"/>
      <c r="BM402" s="3"/>
      <c r="BN402" s="3"/>
      <c r="BO402" s="3"/>
    </row>
    <row r="403" ht="15.75" customHeight="1">
      <c r="E403" s="2"/>
      <c r="F403" s="2"/>
      <c r="G403" s="2"/>
      <c r="H403" s="2"/>
      <c r="I403" s="2"/>
      <c r="J403" s="6"/>
      <c r="BL403" s="3"/>
      <c r="BM403" s="3"/>
      <c r="BN403" s="3"/>
      <c r="BO403" s="3"/>
    </row>
    <row r="404" ht="15.75" customHeight="1">
      <c r="E404" s="2"/>
      <c r="F404" s="2"/>
      <c r="G404" s="2"/>
      <c r="H404" s="2"/>
      <c r="I404" s="2"/>
      <c r="J404" s="6"/>
      <c r="BL404" s="3"/>
      <c r="BM404" s="3"/>
      <c r="BN404" s="3"/>
      <c r="BO404" s="3"/>
    </row>
    <row r="405" ht="15.75" customHeight="1">
      <c r="E405" s="2"/>
      <c r="F405" s="2"/>
      <c r="G405" s="2"/>
      <c r="H405" s="2"/>
      <c r="I405" s="2"/>
      <c r="J405" s="6"/>
      <c r="BL405" s="3"/>
      <c r="BM405" s="3"/>
      <c r="BN405" s="3"/>
      <c r="BO405" s="3"/>
    </row>
    <row r="406" ht="15.75" customHeight="1">
      <c r="E406" s="2"/>
      <c r="F406" s="2"/>
      <c r="G406" s="2"/>
      <c r="H406" s="2"/>
      <c r="I406" s="2"/>
      <c r="J406" s="6"/>
      <c r="BL406" s="3"/>
      <c r="BM406" s="3"/>
      <c r="BN406" s="3"/>
      <c r="BO406" s="3"/>
    </row>
    <row r="407" ht="15.75" customHeight="1">
      <c r="E407" s="2"/>
      <c r="F407" s="2"/>
      <c r="G407" s="2"/>
      <c r="H407" s="2"/>
      <c r="I407" s="2"/>
      <c r="J407" s="6"/>
      <c r="BL407" s="3"/>
      <c r="BM407" s="3"/>
      <c r="BN407" s="3"/>
      <c r="BO407" s="3"/>
    </row>
    <row r="408" ht="15.75" customHeight="1">
      <c r="E408" s="2"/>
      <c r="F408" s="2"/>
      <c r="G408" s="2"/>
      <c r="H408" s="2"/>
      <c r="I408" s="2"/>
      <c r="J408" s="6"/>
      <c r="BL408" s="3"/>
      <c r="BM408" s="3"/>
      <c r="BN408" s="3"/>
      <c r="BO408" s="3"/>
    </row>
    <row r="409" ht="15.75" customHeight="1">
      <c r="E409" s="2"/>
      <c r="F409" s="2"/>
      <c r="G409" s="2"/>
      <c r="H409" s="2"/>
      <c r="I409" s="2"/>
      <c r="J409" s="6"/>
      <c r="BL409" s="3"/>
      <c r="BM409" s="3"/>
      <c r="BN409" s="3"/>
      <c r="BO409" s="3"/>
    </row>
    <row r="410" ht="15.75" customHeight="1">
      <c r="E410" s="2"/>
      <c r="F410" s="2"/>
      <c r="G410" s="2"/>
      <c r="H410" s="2"/>
      <c r="I410" s="2"/>
      <c r="J410" s="6"/>
      <c r="BL410" s="3"/>
      <c r="BM410" s="3"/>
      <c r="BN410" s="3"/>
      <c r="BO410" s="3"/>
    </row>
    <row r="411" ht="15.75" customHeight="1">
      <c r="E411" s="2"/>
      <c r="F411" s="2"/>
      <c r="G411" s="2"/>
      <c r="H411" s="2"/>
      <c r="I411" s="2"/>
      <c r="J411" s="6"/>
      <c r="BL411" s="3"/>
      <c r="BM411" s="3"/>
      <c r="BN411" s="3"/>
      <c r="BO411" s="3"/>
    </row>
    <row r="412" ht="15.75" customHeight="1">
      <c r="E412" s="2"/>
      <c r="F412" s="2"/>
      <c r="G412" s="2"/>
      <c r="H412" s="2"/>
      <c r="I412" s="2"/>
      <c r="J412" s="6"/>
      <c r="BL412" s="3"/>
      <c r="BM412" s="3"/>
      <c r="BN412" s="3"/>
      <c r="BO412" s="3"/>
    </row>
    <row r="413" ht="15.75" customHeight="1">
      <c r="E413" s="2"/>
      <c r="F413" s="2"/>
      <c r="G413" s="2"/>
      <c r="H413" s="2"/>
      <c r="I413" s="2"/>
      <c r="J413" s="6"/>
      <c r="BL413" s="3"/>
      <c r="BM413" s="3"/>
      <c r="BN413" s="3"/>
      <c r="BO413" s="3"/>
    </row>
    <row r="414" ht="15.75" customHeight="1">
      <c r="E414" s="2"/>
      <c r="F414" s="2"/>
      <c r="G414" s="2"/>
      <c r="H414" s="2"/>
      <c r="I414" s="2"/>
      <c r="J414" s="6"/>
      <c r="BL414" s="3"/>
      <c r="BM414" s="3"/>
      <c r="BN414" s="3"/>
      <c r="BO414" s="3"/>
    </row>
    <row r="415" ht="15.75" customHeight="1">
      <c r="E415" s="2"/>
      <c r="F415" s="2"/>
      <c r="G415" s="2"/>
      <c r="H415" s="2"/>
      <c r="I415" s="2"/>
      <c r="J415" s="6"/>
      <c r="BL415" s="3"/>
      <c r="BM415" s="3"/>
      <c r="BN415" s="3"/>
      <c r="BO415" s="3"/>
    </row>
    <row r="416" ht="15.75" customHeight="1">
      <c r="E416" s="2"/>
      <c r="F416" s="2"/>
      <c r="G416" s="2"/>
      <c r="H416" s="2"/>
      <c r="I416" s="2"/>
      <c r="J416" s="6"/>
      <c r="BL416" s="3"/>
      <c r="BM416" s="3"/>
      <c r="BN416" s="3"/>
      <c r="BO416" s="3"/>
    </row>
    <row r="417" ht="15.75" customHeight="1">
      <c r="E417" s="2"/>
      <c r="F417" s="2"/>
      <c r="G417" s="2"/>
      <c r="H417" s="2"/>
      <c r="I417" s="2"/>
      <c r="J417" s="6"/>
      <c r="BL417" s="3"/>
      <c r="BM417" s="3"/>
      <c r="BN417" s="3"/>
      <c r="BO417" s="3"/>
    </row>
    <row r="418" ht="15.75" customHeight="1">
      <c r="E418" s="2"/>
      <c r="F418" s="2"/>
      <c r="G418" s="2"/>
      <c r="H418" s="2"/>
      <c r="I418" s="2"/>
      <c r="J418" s="6"/>
      <c r="BL418" s="3"/>
      <c r="BM418" s="3"/>
      <c r="BN418" s="3"/>
      <c r="BO418" s="3"/>
    </row>
    <row r="419" ht="15.75" customHeight="1">
      <c r="E419" s="2"/>
      <c r="F419" s="2"/>
      <c r="G419" s="2"/>
      <c r="H419" s="2"/>
      <c r="I419" s="2"/>
      <c r="J419" s="6"/>
      <c r="BL419" s="3"/>
      <c r="BM419" s="3"/>
      <c r="BN419" s="3"/>
      <c r="BO419" s="3"/>
    </row>
    <row r="420" ht="15.75" customHeight="1">
      <c r="E420" s="2"/>
      <c r="F420" s="2"/>
      <c r="G420" s="2"/>
      <c r="H420" s="2"/>
      <c r="I420" s="2"/>
      <c r="J420" s="6"/>
      <c r="BL420" s="3"/>
      <c r="BM420" s="3"/>
      <c r="BN420" s="3"/>
      <c r="BO420" s="3"/>
    </row>
    <row r="421" ht="15.75" customHeight="1">
      <c r="E421" s="2"/>
      <c r="F421" s="2"/>
      <c r="G421" s="2"/>
      <c r="H421" s="2"/>
      <c r="I421" s="2"/>
      <c r="J421" s="6"/>
      <c r="BL421" s="3"/>
      <c r="BM421" s="3"/>
      <c r="BN421" s="3"/>
      <c r="BO421" s="3"/>
    </row>
    <row r="422" ht="15.75" customHeight="1">
      <c r="E422" s="2"/>
      <c r="F422" s="2"/>
      <c r="G422" s="2"/>
      <c r="H422" s="2"/>
      <c r="I422" s="2"/>
      <c r="J422" s="6"/>
      <c r="BL422" s="3"/>
      <c r="BM422" s="3"/>
      <c r="BN422" s="3"/>
      <c r="BO422" s="3"/>
    </row>
    <row r="423" ht="15.75" customHeight="1">
      <c r="E423" s="2"/>
      <c r="F423" s="2"/>
      <c r="G423" s="2"/>
      <c r="H423" s="2"/>
      <c r="I423" s="2"/>
      <c r="J423" s="6"/>
      <c r="BL423" s="3"/>
      <c r="BM423" s="3"/>
      <c r="BN423" s="3"/>
      <c r="BO423" s="3"/>
    </row>
    <row r="424" ht="15.75" customHeight="1">
      <c r="E424" s="2"/>
      <c r="F424" s="2"/>
      <c r="G424" s="2"/>
      <c r="H424" s="2"/>
      <c r="I424" s="2"/>
      <c r="J424" s="6"/>
      <c r="BL424" s="3"/>
      <c r="BM424" s="3"/>
      <c r="BN424" s="3"/>
      <c r="BO424" s="3"/>
    </row>
    <row r="425" ht="15.75" customHeight="1">
      <c r="E425" s="2"/>
      <c r="F425" s="2"/>
      <c r="G425" s="2"/>
      <c r="H425" s="2"/>
      <c r="I425" s="2"/>
      <c r="J425" s="6"/>
      <c r="BL425" s="3"/>
      <c r="BM425" s="3"/>
      <c r="BN425" s="3"/>
      <c r="BO425" s="3"/>
    </row>
    <row r="426" ht="15.75" customHeight="1">
      <c r="E426" s="2"/>
      <c r="F426" s="2"/>
      <c r="G426" s="2"/>
      <c r="H426" s="2"/>
      <c r="I426" s="2"/>
      <c r="J426" s="6"/>
      <c r="BL426" s="3"/>
      <c r="BM426" s="3"/>
      <c r="BN426" s="3"/>
      <c r="BO426" s="3"/>
    </row>
    <row r="427" ht="15.75" customHeight="1">
      <c r="E427" s="2"/>
      <c r="F427" s="2"/>
      <c r="G427" s="2"/>
      <c r="H427" s="2"/>
      <c r="I427" s="2"/>
      <c r="J427" s="6"/>
      <c r="BL427" s="3"/>
      <c r="BM427" s="3"/>
      <c r="BN427" s="3"/>
      <c r="BO427" s="3"/>
    </row>
    <row r="428" ht="15.75" customHeight="1">
      <c r="E428" s="2"/>
      <c r="F428" s="2"/>
      <c r="G428" s="2"/>
      <c r="H428" s="2"/>
      <c r="I428" s="2"/>
      <c r="J428" s="6"/>
      <c r="BL428" s="3"/>
      <c r="BM428" s="3"/>
      <c r="BN428" s="3"/>
      <c r="BO428" s="3"/>
    </row>
    <row r="429" ht="15.75" customHeight="1">
      <c r="E429" s="2"/>
      <c r="F429" s="2"/>
      <c r="G429" s="2"/>
      <c r="H429" s="2"/>
      <c r="I429" s="2"/>
      <c r="J429" s="6"/>
      <c r="BL429" s="3"/>
      <c r="BM429" s="3"/>
      <c r="BN429" s="3"/>
      <c r="BO429" s="3"/>
    </row>
    <row r="430" ht="15.75" customHeight="1">
      <c r="E430" s="2"/>
      <c r="F430" s="2"/>
      <c r="G430" s="2"/>
      <c r="H430" s="2"/>
      <c r="I430" s="2"/>
      <c r="J430" s="6"/>
      <c r="BL430" s="3"/>
      <c r="BM430" s="3"/>
      <c r="BN430" s="3"/>
      <c r="BO430" s="3"/>
    </row>
    <row r="431" ht="15.75" customHeight="1">
      <c r="E431" s="2"/>
      <c r="F431" s="2"/>
      <c r="G431" s="2"/>
      <c r="H431" s="2"/>
      <c r="I431" s="2"/>
      <c r="J431" s="6"/>
      <c r="BL431" s="3"/>
      <c r="BM431" s="3"/>
      <c r="BN431" s="3"/>
      <c r="BO431" s="3"/>
    </row>
    <row r="432" ht="15.75" customHeight="1">
      <c r="E432" s="2"/>
      <c r="F432" s="2"/>
      <c r="G432" s="2"/>
      <c r="H432" s="2"/>
      <c r="I432" s="2"/>
      <c r="J432" s="6"/>
      <c r="BL432" s="3"/>
      <c r="BM432" s="3"/>
      <c r="BN432" s="3"/>
      <c r="BO432" s="3"/>
    </row>
    <row r="433" ht="15.75" customHeight="1">
      <c r="E433" s="2"/>
      <c r="F433" s="2"/>
      <c r="G433" s="2"/>
      <c r="H433" s="2"/>
      <c r="I433" s="2"/>
      <c r="J433" s="6"/>
      <c r="BL433" s="3"/>
      <c r="BM433" s="3"/>
      <c r="BN433" s="3"/>
      <c r="BO433" s="3"/>
    </row>
    <row r="434" ht="15.75" customHeight="1">
      <c r="E434" s="2"/>
      <c r="F434" s="2"/>
      <c r="G434" s="2"/>
      <c r="H434" s="2"/>
      <c r="I434" s="2"/>
      <c r="J434" s="6"/>
      <c r="BL434" s="3"/>
      <c r="BM434" s="3"/>
      <c r="BN434" s="3"/>
      <c r="BO434" s="3"/>
    </row>
    <row r="435" ht="15.75" customHeight="1">
      <c r="E435" s="2"/>
      <c r="F435" s="2"/>
      <c r="G435" s="2"/>
      <c r="H435" s="2"/>
      <c r="I435" s="2"/>
      <c r="J435" s="6"/>
      <c r="BL435" s="3"/>
      <c r="BM435" s="3"/>
      <c r="BN435" s="3"/>
      <c r="BO435" s="3"/>
    </row>
    <row r="436" ht="15.75" customHeight="1">
      <c r="E436" s="2"/>
      <c r="F436" s="2"/>
      <c r="G436" s="2"/>
      <c r="H436" s="2"/>
      <c r="I436" s="2"/>
      <c r="J436" s="6"/>
      <c r="BL436" s="3"/>
      <c r="BM436" s="3"/>
      <c r="BN436" s="3"/>
      <c r="BO436" s="3"/>
    </row>
    <row r="437" ht="15.75" customHeight="1">
      <c r="E437" s="2"/>
      <c r="F437" s="2"/>
      <c r="G437" s="2"/>
      <c r="H437" s="2"/>
      <c r="I437" s="2"/>
      <c r="J437" s="6"/>
      <c r="BL437" s="3"/>
      <c r="BM437" s="3"/>
      <c r="BN437" s="3"/>
      <c r="BO437" s="3"/>
    </row>
    <row r="438" ht="15.75" customHeight="1">
      <c r="E438" s="2"/>
      <c r="F438" s="2"/>
      <c r="G438" s="2"/>
      <c r="H438" s="2"/>
      <c r="I438" s="2"/>
      <c r="J438" s="6"/>
      <c r="BL438" s="3"/>
      <c r="BM438" s="3"/>
      <c r="BN438" s="3"/>
      <c r="BO438" s="3"/>
    </row>
    <row r="439" ht="15.75" customHeight="1">
      <c r="E439" s="2"/>
      <c r="F439" s="2"/>
      <c r="G439" s="2"/>
      <c r="H439" s="2"/>
      <c r="I439" s="2"/>
      <c r="J439" s="6"/>
      <c r="BL439" s="3"/>
      <c r="BM439" s="3"/>
      <c r="BN439" s="3"/>
      <c r="BO439" s="3"/>
    </row>
    <row r="440" ht="15.75" customHeight="1">
      <c r="E440" s="2"/>
      <c r="F440" s="2"/>
      <c r="G440" s="2"/>
      <c r="H440" s="2"/>
      <c r="I440" s="2"/>
      <c r="J440" s="6"/>
      <c r="BL440" s="3"/>
      <c r="BM440" s="3"/>
      <c r="BN440" s="3"/>
      <c r="BO440" s="3"/>
    </row>
    <row r="441" ht="15.75" customHeight="1">
      <c r="E441" s="2"/>
      <c r="F441" s="2"/>
      <c r="G441" s="2"/>
      <c r="H441" s="2"/>
      <c r="I441" s="2"/>
      <c r="J441" s="6"/>
      <c r="BL441" s="3"/>
      <c r="BM441" s="3"/>
      <c r="BN441" s="3"/>
      <c r="BO441" s="3"/>
    </row>
    <row r="442" ht="15.75" customHeight="1">
      <c r="E442" s="2"/>
      <c r="F442" s="2"/>
      <c r="G442" s="2"/>
      <c r="H442" s="2"/>
      <c r="I442" s="2"/>
      <c r="J442" s="6"/>
      <c r="BL442" s="3"/>
      <c r="BM442" s="3"/>
      <c r="BN442" s="3"/>
      <c r="BO442" s="3"/>
    </row>
    <row r="443" ht="15.75" customHeight="1">
      <c r="E443" s="2"/>
      <c r="F443" s="2"/>
      <c r="G443" s="2"/>
      <c r="H443" s="2"/>
      <c r="I443" s="2"/>
      <c r="J443" s="6"/>
      <c r="BL443" s="3"/>
      <c r="BM443" s="3"/>
      <c r="BN443" s="3"/>
      <c r="BO443" s="3"/>
    </row>
    <row r="444" ht="15.75" customHeight="1">
      <c r="E444" s="2"/>
      <c r="F444" s="2"/>
      <c r="G444" s="2"/>
      <c r="H444" s="2"/>
      <c r="I444" s="2"/>
      <c r="J444" s="6"/>
      <c r="BL444" s="3"/>
      <c r="BM444" s="3"/>
      <c r="BN444" s="3"/>
      <c r="BO444" s="3"/>
    </row>
    <row r="445" ht="15.75" customHeight="1">
      <c r="E445" s="2"/>
      <c r="F445" s="2"/>
      <c r="G445" s="2"/>
      <c r="H445" s="2"/>
      <c r="I445" s="2"/>
      <c r="J445" s="6"/>
      <c r="BL445" s="3"/>
      <c r="BM445" s="3"/>
      <c r="BN445" s="3"/>
      <c r="BO445" s="3"/>
    </row>
    <row r="446" ht="15.75" customHeight="1">
      <c r="E446" s="2"/>
      <c r="F446" s="2"/>
      <c r="G446" s="2"/>
      <c r="H446" s="2"/>
      <c r="I446" s="2"/>
      <c r="J446" s="6"/>
      <c r="BL446" s="3"/>
      <c r="BM446" s="3"/>
      <c r="BN446" s="3"/>
      <c r="BO446" s="3"/>
    </row>
    <row r="447" ht="15.75" customHeight="1">
      <c r="E447" s="2"/>
      <c r="F447" s="2"/>
      <c r="G447" s="2"/>
      <c r="H447" s="2"/>
      <c r="I447" s="2"/>
      <c r="J447" s="6"/>
      <c r="BL447" s="3"/>
      <c r="BM447" s="3"/>
      <c r="BN447" s="3"/>
      <c r="BO447" s="3"/>
    </row>
    <row r="448" ht="15.75" customHeight="1">
      <c r="E448" s="2"/>
      <c r="F448" s="2"/>
      <c r="G448" s="2"/>
      <c r="H448" s="2"/>
      <c r="I448" s="2"/>
      <c r="J448" s="6"/>
      <c r="BL448" s="3"/>
      <c r="BM448" s="3"/>
      <c r="BN448" s="3"/>
      <c r="BO448" s="3"/>
    </row>
    <row r="449" ht="15.75" customHeight="1">
      <c r="E449" s="2"/>
      <c r="F449" s="2"/>
      <c r="G449" s="2"/>
      <c r="H449" s="2"/>
      <c r="I449" s="2"/>
      <c r="J449" s="6"/>
      <c r="BL449" s="3"/>
      <c r="BM449" s="3"/>
      <c r="BN449" s="3"/>
      <c r="BO449" s="3"/>
    </row>
    <row r="450" ht="15.75" customHeight="1">
      <c r="E450" s="2"/>
      <c r="F450" s="2"/>
      <c r="G450" s="2"/>
      <c r="H450" s="2"/>
      <c r="I450" s="2"/>
      <c r="J450" s="6"/>
      <c r="BL450" s="3"/>
      <c r="BM450" s="3"/>
      <c r="BN450" s="3"/>
      <c r="BO450" s="3"/>
    </row>
    <row r="451" ht="15.75" customHeight="1">
      <c r="E451" s="2"/>
      <c r="F451" s="2"/>
      <c r="G451" s="2"/>
      <c r="H451" s="2"/>
      <c r="I451" s="2"/>
      <c r="J451" s="6"/>
      <c r="BL451" s="3"/>
      <c r="BM451" s="3"/>
      <c r="BN451" s="3"/>
      <c r="BO451" s="3"/>
    </row>
    <row r="452" ht="15.75" customHeight="1">
      <c r="E452" s="2"/>
      <c r="F452" s="2"/>
      <c r="G452" s="2"/>
      <c r="H452" s="2"/>
      <c r="I452" s="2"/>
      <c r="J452" s="6"/>
      <c r="BL452" s="3"/>
      <c r="BM452" s="3"/>
      <c r="BN452" s="3"/>
      <c r="BO452" s="3"/>
    </row>
    <row r="453" ht="15.75" customHeight="1">
      <c r="E453" s="2"/>
      <c r="F453" s="2"/>
      <c r="G453" s="2"/>
      <c r="H453" s="2"/>
      <c r="I453" s="2"/>
      <c r="J453" s="6"/>
      <c r="BL453" s="3"/>
      <c r="BM453" s="3"/>
      <c r="BN453" s="3"/>
      <c r="BO453" s="3"/>
    </row>
    <row r="454" ht="15.75" customHeight="1">
      <c r="E454" s="2"/>
      <c r="F454" s="2"/>
      <c r="G454" s="2"/>
      <c r="H454" s="2"/>
      <c r="I454" s="2"/>
      <c r="J454" s="6"/>
      <c r="BL454" s="3"/>
      <c r="BM454" s="3"/>
      <c r="BN454" s="3"/>
      <c r="BO454" s="3"/>
    </row>
    <row r="455" ht="15.75" customHeight="1">
      <c r="E455" s="2"/>
      <c r="F455" s="2"/>
      <c r="G455" s="2"/>
      <c r="H455" s="2"/>
      <c r="I455" s="2"/>
      <c r="J455" s="6"/>
      <c r="BL455" s="3"/>
      <c r="BM455" s="3"/>
      <c r="BN455" s="3"/>
      <c r="BO455" s="3"/>
    </row>
    <row r="456" ht="15.75" customHeight="1">
      <c r="E456" s="2"/>
      <c r="F456" s="2"/>
      <c r="G456" s="2"/>
      <c r="H456" s="2"/>
      <c r="I456" s="2"/>
      <c r="J456" s="6"/>
      <c r="BL456" s="3"/>
      <c r="BM456" s="3"/>
      <c r="BN456" s="3"/>
      <c r="BO456" s="3"/>
    </row>
    <row r="457" ht="15.75" customHeight="1">
      <c r="E457" s="2"/>
      <c r="F457" s="2"/>
      <c r="G457" s="2"/>
      <c r="H457" s="2"/>
      <c r="I457" s="2"/>
      <c r="J457" s="6"/>
      <c r="BL457" s="3"/>
      <c r="BM457" s="3"/>
      <c r="BN457" s="3"/>
      <c r="BO457" s="3"/>
    </row>
    <row r="458" ht="15.75" customHeight="1">
      <c r="E458" s="2"/>
      <c r="F458" s="2"/>
      <c r="G458" s="2"/>
      <c r="H458" s="2"/>
      <c r="I458" s="2"/>
      <c r="J458" s="6"/>
      <c r="BL458" s="3"/>
      <c r="BM458" s="3"/>
      <c r="BN458" s="3"/>
      <c r="BO458" s="3"/>
    </row>
    <row r="459" ht="15.75" customHeight="1">
      <c r="E459" s="2"/>
      <c r="F459" s="2"/>
      <c r="G459" s="2"/>
      <c r="H459" s="2"/>
      <c r="I459" s="2"/>
      <c r="J459" s="6"/>
      <c r="BL459" s="3"/>
      <c r="BM459" s="3"/>
      <c r="BN459" s="3"/>
      <c r="BO459" s="3"/>
    </row>
    <row r="460" ht="15.75" customHeight="1">
      <c r="E460" s="2"/>
      <c r="F460" s="2"/>
      <c r="G460" s="2"/>
      <c r="H460" s="2"/>
      <c r="I460" s="2"/>
      <c r="J460" s="6"/>
      <c r="BL460" s="3"/>
      <c r="BM460" s="3"/>
      <c r="BN460" s="3"/>
      <c r="BO460" s="3"/>
    </row>
    <row r="461" ht="15.75" customHeight="1">
      <c r="E461" s="2"/>
      <c r="F461" s="2"/>
      <c r="G461" s="2"/>
      <c r="H461" s="2"/>
      <c r="I461" s="2"/>
      <c r="J461" s="6"/>
      <c r="BL461" s="3"/>
      <c r="BM461" s="3"/>
      <c r="BN461" s="3"/>
      <c r="BO461" s="3"/>
    </row>
    <row r="462" ht="15.75" customHeight="1">
      <c r="E462" s="2"/>
      <c r="F462" s="2"/>
      <c r="G462" s="2"/>
      <c r="H462" s="2"/>
      <c r="I462" s="2"/>
      <c r="J462" s="6"/>
      <c r="BL462" s="3"/>
      <c r="BM462" s="3"/>
      <c r="BN462" s="3"/>
      <c r="BO462" s="3"/>
    </row>
    <row r="463" ht="15.75" customHeight="1">
      <c r="E463" s="2"/>
      <c r="F463" s="2"/>
      <c r="G463" s="2"/>
      <c r="H463" s="2"/>
      <c r="I463" s="2"/>
      <c r="J463" s="6"/>
      <c r="BL463" s="3"/>
      <c r="BM463" s="3"/>
      <c r="BN463" s="3"/>
      <c r="BO463" s="3"/>
    </row>
    <row r="464" ht="15.75" customHeight="1">
      <c r="E464" s="2"/>
      <c r="F464" s="2"/>
      <c r="G464" s="2"/>
      <c r="H464" s="2"/>
      <c r="I464" s="2"/>
      <c r="J464" s="6"/>
      <c r="BL464" s="3"/>
      <c r="BM464" s="3"/>
      <c r="BN464" s="3"/>
      <c r="BO464" s="3"/>
    </row>
    <row r="465" ht="15.75" customHeight="1">
      <c r="E465" s="2"/>
      <c r="F465" s="2"/>
      <c r="G465" s="2"/>
      <c r="H465" s="2"/>
      <c r="I465" s="2"/>
      <c r="J465" s="6"/>
      <c r="BL465" s="3"/>
      <c r="BM465" s="3"/>
      <c r="BN465" s="3"/>
      <c r="BO465" s="3"/>
    </row>
    <row r="466" ht="15.75" customHeight="1">
      <c r="E466" s="2"/>
      <c r="F466" s="2"/>
      <c r="G466" s="2"/>
      <c r="H466" s="2"/>
      <c r="I466" s="2"/>
      <c r="J466" s="6"/>
      <c r="BL466" s="3"/>
      <c r="BM466" s="3"/>
      <c r="BN466" s="3"/>
      <c r="BO466" s="3"/>
    </row>
    <row r="467" ht="15.75" customHeight="1">
      <c r="E467" s="2"/>
      <c r="F467" s="2"/>
      <c r="G467" s="2"/>
      <c r="H467" s="2"/>
      <c r="I467" s="2"/>
      <c r="J467" s="6"/>
      <c r="BL467" s="3"/>
      <c r="BM467" s="3"/>
      <c r="BN467" s="3"/>
      <c r="BO467" s="3"/>
    </row>
    <row r="468" ht="15.75" customHeight="1">
      <c r="E468" s="2"/>
      <c r="F468" s="2"/>
      <c r="G468" s="2"/>
      <c r="H468" s="2"/>
      <c r="I468" s="2"/>
      <c r="J468" s="6"/>
      <c r="BL468" s="3"/>
      <c r="BM468" s="3"/>
      <c r="BN468" s="3"/>
      <c r="BO468" s="3"/>
    </row>
    <row r="469" ht="15.75" customHeight="1">
      <c r="E469" s="2"/>
      <c r="F469" s="2"/>
      <c r="G469" s="2"/>
      <c r="H469" s="2"/>
      <c r="I469" s="2"/>
      <c r="J469" s="6"/>
      <c r="BL469" s="3"/>
      <c r="BM469" s="3"/>
      <c r="BN469" s="3"/>
      <c r="BO469" s="3"/>
    </row>
    <row r="470" ht="15.75" customHeight="1">
      <c r="E470" s="2"/>
      <c r="F470" s="2"/>
      <c r="G470" s="2"/>
      <c r="H470" s="2"/>
      <c r="I470" s="2"/>
      <c r="J470" s="6"/>
      <c r="BL470" s="3"/>
      <c r="BM470" s="3"/>
      <c r="BN470" s="3"/>
      <c r="BO470" s="3"/>
    </row>
    <row r="471" ht="15.75" customHeight="1">
      <c r="E471" s="2"/>
      <c r="F471" s="2"/>
      <c r="G471" s="2"/>
      <c r="H471" s="2"/>
      <c r="I471" s="2"/>
      <c r="J471" s="6"/>
      <c r="BL471" s="3"/>
      <c r="BM471" s="3"/>
      <c r="BN471" s="3"/>
      <c r="BO471" s="3"/>
    </row>
    <row r="472" ht="15.75" customHeight="1">
      <c r="E472" s="2"/>
      <c r="F472" s="2"/>
      <c r="G472" s="2"/>
      <c r="H472" s="2"/>
      <c r="I472" s="2"/>
      <c r="J472" s="6"/>
      <c r="BL472" s="3"/>
      <c r="BM472" s="3"/>
      <c r="BN472" s="3"/>
      <c r="BO472" s="3"/>
    </row>
    <row r="473" ht="15.75" customHeight="1">
      <c r="E473" s="2"/>
      <c r="F473" s="2"/>
      <c r="G473" s="2"/>
      <c r="H473" s="2"/>
      <c r="I473" s="2"/>
      <c r="J473" s="6"/>
      <c r="BL473" s="3"/>
      <c r="BM473" s="3"/>
      <c r="BN473" s="3"/>
      <c r="BO473" s="3"/>
    </row>
    <row r="474" ht="15.75" customHeight="1">
      <c r="E474" s="2"/>
      <c r="F474" s="2"/>
      <c r="G474" s="2"/>
      <c r="H474" s="2"/>
      <c r="I474" s="2"/>
      <c r="J474" s="6"/>
      <c r="BL474" s="3"/>
      <c r="BM474" s="3"/>
      <c r="BN474" s="3"/>
      <c r="BO474" s="3"/>
    </row>
    <row r="475" ht="15.75" customHeight="1">
      <c r="E475" s="2"/>
      <c r="F475" s="2"/>
      <c r="G475" s="2"/>
      <c r="H475" s="2"/>
      <c r="I475" s="2"/>
      <c r="J475" s="6"/>
      <c r="BL475" s="3"/>
      <c r="BM475" s="3"/>
      <c r="BN475" s="3"/>
      <c r="BO475" s="3"/>
    </row>
    <row r="476" ht="15.75" customHeight="1">
      <c r="E476" s="2"/>
      <c r="F476" s="2"/>
      <c r="G476" s="2"/>
      <c r="H476" s="2"/>
      <c r="I476" s="2"/>
      <c r="J476" s="6"/>
      <c r="BL476" s="3"/>
      <c r="BM476" s="3"/>
      <c r="BN476" s="3"/>
      <c r="BO476" s="3"/>
    </row>
    <row r="477" ht="15.75" customHeight="1">
      <c r="E477" s="2"/>
      <c r="F477" s="2"/>
      <c r="G477" s="2"/>
      <c r="H477" s="2"/>
      <c r="I477" s="2"/>
      <c r="J477" s="6"/>
      <c r="BL477" s="3"/>
      <c r="BM477" s="3"/>
      <c r="BN477" s="3"/>
      <c r="BO477" s="3"/>
    </row>
    <row r="478" ht="15.75" customHeight="1">
      <c r="E478" s="2"/>
      <c r="F478" s="2"/>
      <c r="G478" s="2"/>
      <c r="H478" s="2"/>
      <c r="I478" s="2"/>
      <c r="J478" s="6"/>
      <c r="BL478" s="3"/>
      <c r="BM478" s="3"/>
      <c r="BN478" s="3"/>
      <c r="BO478" s="3"/>
    </row>
    <row r="479" ht="15.75" customHeight="1">
      <c r="E479" s="2"/>
      <c r="F479" s="2"/>
      <c r="G479" s="2"/>
      <c r="H479" s="2"/>
      <c r="I479" s="2"/>
      <c r="J479" s="6"/>
      <c r="BL479" s="3"/>
      <c r="BM479" s="3"/>
      <c r="BN479" s="3"/>
      <c r="BO479" s="3"/>
    </row>
    <row r="480" ht="15.75" customHeight="1">
      <c r="E480" s="2"/>
      <c r="F480" s="2"/>
      <c r="G480" s="2"/>
      <c r="H480" s="2"/>
      <c r="I480" s="2"/>
      <c r="J480" s="6"/>
      <c r="BL480" s="3"/>
      <c r="BM480" s="3"/>
      <c r="BN480" s="3"/>
      <c r="BO480" s="3"/>
    </row>
    <row r="481" ht="15.75" customHeight="1">
      <c r="E481" s="2"/>
      <c r="F481" s="2"/>
      <c r="G481" s="2"/>
      <c r="H481" s="2"/>
      <c r="I481" s="2"/>
      <c r="J481" s="6"/>
      <c r="BL481" s="3"/>
      <c r="BM481" s="3"/>
      <c r="BN481" s="3"/>
      <c r="BO481" s="3"/>
    </row>
    <row r="482" ht="15.75" customHeight="1">
      <c r="E482" s="2"/>
      <c r="F482" s="2"/>
      <c r="G482" s="2"/>
      <c r="H482" s="2"/>
      <c r="I482" s="2"/>
      <c r="J482" s="6"/>
      <c r="BL482" s="3"/>
      <c r="BM482" s="3"/>
      <c r="BN482" s="3"/>
      <c r="BO482" s="3"/>
    </row>
    <row r="483" ht="15.75" customHeight="1">
      <c r="E483" s="2"/>
      <c r="F483" s="2"/>
      <c r="G483" s="2"/>
      <c r="H483" s="2"/>
      <c r="I483" s="2"/>
      <c r="J483" s="6"/>
      <c r="BL483" s="3"/>
      <c r="BM483" s="3"/>
      <c r="BN483" s="3"/>
      <c r="BO483" s="3"/>
    </row>
    <row r="484" ht="15.75" customHeight="1">
      <c r="E484" s="2"/>
      <c r="F484" s="2"/>
      <c r="G484" s="2"/>
      <c r="H484" s="2"/>
      <c r="I484" s="2"/>
      <c r="J484" s="6"/>
      <c r="BL484" s="3"/>
      <c r="BM484" s="3"/>
      <c r="BN484" s="3"/>
      <c r="BO484" s="3"/>
    </row>
    <row r="485" ht="15.75" customHeight="1">
      <c r="E485" s="2"/>
      <c r="F485" s="2"/>
      <c r="G485" s="2"/>
      <c r="H485" s="2"/>
      <c r="I485" s="2"/>
      <c r="J485" s="6"/>
      <c r="BL485" s="3"/>
      <c r="BM485" s="3"/>
      <c r="BN485" s="3"/>
      <c r="BO485" s="3"/>
    </row>
    <row r="486" ht="15.75" customHeight="1">
      <c r="E486" s="2"/>
      <c r="F486" s="2"/>
      <c r="G486" s="2"/>
      <c r="H486" s="2"/>
      <c r="I486" s="2"/>
      <c r="J486" s="6"/>
      <c r="BL486" s="3"/>
      <c r="BM486" s="3"/>
      <c r="BN486" s="3"/>
      <c r="BO486" s="3"/>
    </row>
    <row r="487" ht="15.75" customHeight="1">
      <c r="E487" s="2"/>
      <c r="F487" s="2"/>
      <c r="G487" s="2"/>
      <c r="H487" s="2"/>
      <c r="I487" s="2"/>
      <c r="J487" s="6"/>
      <c r="BL487" s="3"/>
      <c r="BM487" s="3"/>
      <c r="BN487" s="3"/>
      <c r="BO487" s="3"/>
    </row>
    <row r="488" ht="15.75" customHeight="1">
      <c r="E488" s="2"/>
      <c r="F488" s="2"/>
      <c r="G488" s="2"/>
      <c r="H488" s="2"/>
      <c r="I488" s="2"/>
      <c r="J488" s="6"/>
      <c r="BL488" s="3"/>
      <c r="BM488" s="3"/>
      <c r="BN488" s="3"/>
      <c r="BO488" s="3"/>
    </row>
    <row r="489" ht="15.75" customHeight="1">
      <c r="E489" s="2"/>
      <c r="F489" s="2"/>
      <c r="G489" s="2"/>
      <c r="H489" s="2"/>
      <c r="I489" s="2"/>
      <c r="J489" s="6"/>
      <c r="BL489" s="3"/>
      <c r="BM489" s="3"/>
      <c r="BN489" s="3"/>
      <c r="BO489" s="3"/>
    </row>
    <row r="490" ht="15.75" customHeight="1">
      <c r="E490" s="2"/>
      <c r="F490" s="2"/>
      <c r="G490" s="2"/>
      <c r="H490" s="2"/>
      <c r="I490" s="2"/>
      <c r="J490" s="6"/>
      <c r="BL490" s="3"/>
      <c r="BM490" s="3"/>
      <c r="BN490" s="3"/>
      <c r="BO490" s="3"/>
    </row>
    <row r="491" ht="15.75" customHeight="1">
      <c r="E491" s="2"/>
      <c r="F491" s="2"/>
      <c r="G491" s="2"/>
      <c r="H491" s="2"/>
      <c r="I491" s="2"/>
      <c r="J491" s="6"/>
      <c r="BL491" s="3"/>
      <c r="BM491" s="3"/>
      <c r="BN491" s="3"/>
      <c r="BO491" s="3"/>
    </row>
    <row r="492" ht="15.75" customHeight="1">
      <c r="E492" s="2"/>
      <c r="F492" s="2"/>
      <c r="G492" s="2"/>
      <c r="H492" s="2"/>
      <c r="I492" s="2"/>
      <c r="J492" s="6"/>
      <c r="BL492" s="3"/>
      <c r="BM492" s="3"/>
      <c r="BN492" s="3"/>
      <c r="BO492" s="3"/>
    </row>
    <row r="493" ht="15.75" customHeight="1">
      <c r="E493" s="2"/>
      <c r="F493" s="2"/>
      <c r="G493" s="2"/>
      <c r="H493" s="2"/>
      <c r="I493" s="2"/>
      <c r="J493" s="6"/>
      <c r="BL493" s="3"/>
      <c r="BM493" s="3"/>
      <c r="BN493" s="3"/>
      <c r="BO493" s="3"/>
    </row>
    <row r="494" ht="15.75" customHeight="1">
      <c r="E494" s="2"/>
      <c r="F494" s="2"/>
      <c r="G494" s="2"/>
      <c r="H494" s="2"/>
      <c r="I494" s="2"/>
      <c r="J494" s="6"/>
      <c r="BL494" s="3"/>
      <c r="BM494" s="3"/>
      <c r="BN494" s="3"/>
      <c r="BO494" s="3"/>
    </row>
    <row r="495" ht="15.75" customHeight="1">
      <c r="E495" s="2"/>
      <c r="F495" s="2"/>
      <c r="G495" s="2"/>
      <c r="H495" s="2"/>
      <c r="I495" s="2"/>
      <c r="J495" s="6"/>
      <c r="BL495" s="3"/>
      <c r="BM495" s="3"/>
      <c r="BN495" s="3"/>
      <c r="BO495" s="3"/>
    </row>
    <row r="496" ht="15.75" customHeight="1">
      <c r="E496" s="2"/>
      <c r="F496" s="2"/>
      <c r="G496" s="2"/>
      <c r="H496" s="2"/>
      <c r="I496" s="2"/>
      <c r="J496" s="6"/>
      <c r="BL496" s="3"/>
      <c r="BM496" s="3"/>
      <c r="BN496" s="3"/>
      <c r="BO496" s="3"/>
    </row>
    <row r="497" ht="15.75" customHeight="1">
      <c r="E497" s="2"/>
      <c r="F497" s="2"/>
      <c r="G497" s="2"/>
      <c r="H497" s="2"/>
      <c r="I497" s="2"/>
      <c r="J497" s="6"/>
      <c r="BL497" s="3"/>
      <c r="BM497" s="3"/>
      <c r="BN497" s="3"/>
      <c r="BO497" s="3"/>
    </row>
    <row r="498" ht="15.75" customHeight="1">
      <c r="E498" s="2"/>
      <c r="F498" s="2"/>
      <c r="G498" s="2"/>
      <c r="H498" s="2"/>
      <c r="I498" s="2"/>
      <c r="J498" s="6"/>
      <c r="BL498" s="3"/>
      <c r="BM498" s="3"/>
      <c r="BN498" s="3"/>
      <c r="BO498" s="3"/>
    </row>
    <row r="499" ht="15.75" customHeight="1">
      <c r="E499" s="2"/>
      <c r="F499" s="2"/>
      <c r="G499" s="2"/>
      <c r="H499" s="2"/>
      <c r="I499" s="2"/>
      <c r="J499" s="6"/>
      <c r="BL499" s="3"/>
      <c r="BM499" s="3"/>
      <c r="BN499" s="3"/>
      <c r="BO499" s="3"/>
    </row>
    <row r="500" ht="15.75" customHeight="1">
      <c r="E500" s="2"/>
      <c r="F500" s="2"/>
      <c r="G500" s="2"/>
      <c r="H500" s="2"/>
      <c r="I500" s="2"/>
      <c r="J500" s="6"/>
      <c r="BL500" s="3"/>
      <c r="BM500" s="3"/>
      <c r="BN500" s="3"/>
      <c r="BO500" s="3"/>
    </row>
    <row r="501" ht="15.75" customHeight="1">
      <c r="E501" s="2"/>
      <c r="F501" s="2"/>
      <c r="G501" s="2"/>
      <c r="H501" s="2"/>
      <c r="I501" s="2"/>
      <c r="J501" s="6"/>
      <c r="BL501" s="3"/>
      <c r="BM501" s="3"/>
      <c r="BN501" s="3"/>
      <c r="BO501" s="3"/>
    </row>
    <row r="502" ht="15.75" customHeight="1">
      <c r="E502" s="2"/>
      <c r="F502" s="2"/>
      <c r="G502" s="2"/>
      <c r="H502" s="2"/>
      <c r="I502" s="2"/>
      <c r="J502" s="6"/>
      <c r="BL502" s="3"/>
      <c r="BM502" s="3"/>
      <c r="BN502" s="3"/>
      <c r="BO502" s="3"/>
    </row>
    <row r="503" ht="15.75" customHeight="1">
      <c r="E503" s="2"/>
      <c r="F503" s="2"/>
      <c r="G503" s="2"/>
      <c r="H503" s="2"/>
      <c r="I503" s="2"/>
      <c r="J503" s="6"/>
      <c r="BL503" s="3"/>
      <c r="BM503" s="3"/>
      <c r="BN503" s="3"/>
      <c r="BO503" s="3"/>
    </row>
    <row r="504" ht="15.75" customHeight="1">
      <c r="E504" s="2"/>
      <c r="F504" s="2"/>
      <c r="G504" s="2"/>
      <c r="H504" s="2"/>
      <c r="I504" s="2"/>
      <c r="J504" s="6"/>
      <c r="BL504" s="3"/>
      <c r="BM504" s="3"/>
      <c r="BN504" s="3"/>
      <c r="BO504" s="3"/>
    </row>
    <row r="505" ht="15.75" customHeight="1">
      <c r="E505" s="2"/>
      <c r="F505" s="2"/>
      <c r="G505" s="2"/>
      <c r="H505" s="2"/>
      <c r="I505" s="2"/>
      <c r="J505" s="6"/>
      <c r="BL505" s="3"/>
      <c r="BM505" s="3"/>
      <c r="BN505" s="3"/>
      <c r="BO505" s="3"/>
    </row>
    <row r="506" ht="15.75" customHeight="1">
      <c r="E506" s="2"/>
      <c r="F506" s="2"/>
      <c r="G506" s="2"/>
      <c r="H506" s="2"/>
      <c r="I506" s="2"/>
      <c r="J506" s="6"/>
      <c r="BL506" s="3"/>
      <c r="BM506" s="3"/>
      <c r="BN506" s="3"/>
      <c r="BO506" s="3"/>
    </row>
    <row r="507" ht="15.75" customHeight="1">
      <c r="E507" s="2"/>
      <c r="F507" s="2"/>
      <c r="G507" s="2"/>
      <c r="H507" s="2"/>
      <c r="I507" s="2"/>
      <c r="J507" s="6"/>
      <c r="BL507" s="3"/>
      <c r="BM507" s="3"/>
      <c r="BN507" s="3"/>
      <c r="BO507" s="3"/>
    </row>
    <row r="508" ht="15.75" customHeight="1">
      <c r="E508" s="2"/>
      <c r="F508" s="2"/>
      <c r="G508" s="2"/>
      <c r="H508" s="2"/>
      <c r="I508" s="2"/>
      <c r="J508" s="6"/>
      <c r="BL508" s="3"/>
      <c r="BM508" s="3"/>
      <c r="BN508" s="3"/>
      <c r="BO508" s="3"/>
    </row>
    <row r="509" ht="15.75" customHeight="1">
      <c r="E509" s="2"/>
      <c r="F509" s="2"/>
      <c r="G509" s="2"/>
      <c r="H509" s="2"/>
      <c r="I509" s="2"/>
      <c r="J509" s="6"/>
      <c r="BL509" s="3"/>
      <c r="BM509" s="3"/>
      <c r="BN509" s="3"/>
      <c r="BO509" s="3"/>
    </row>
    <row r="510" ht="15.75" customHeight="1">
      <c r="E510" s="2"/>
      <c r="F510" s="2"/>
      <c r="G510" s="2"/>
      <c r="H510" s="2"/>
      <c r="I510" s="2"/>
      <c r="J510" s="6"/>
      <c r="BL510" s="3"/>
      <c r="BM510" s="3"/>
      <c r="BN510" s="3"/>
      <c r="BO510" s="3"/>
    </row>
    <row r="511" ht="15.75" customHeight="1">
      <c r="E511" s="2"/>
      <c r="F511" s="2"/>
      <c r="G511" s="2"/>
      <c r="H511" s="2"/>
      <c r="I511" s="2"/>
      <c r="J511" s="6"/>
      <c r="BL511" s="3"/>
      <c r="BM511" s="3"/>
      <c r="BN511" s="3"/>
      <c r="BO511" s="3"/>
    </row>
    <row r="512" ht="15.75" customHeight="1">
      <c r="E512" s="2"/>
      <c r="F512" s="2"/>
      <c r="G512" s="2"/>
      <c r="H512" s="2"/>
      <c r="I512" s="2"/>
      <c r="J512" s="6"/>
      <c r="BL512" s="3"/>
      <c r="BM512" s="3"/>
      <c r="BN512" s="3"/>
      <c r="BO512" s="3"/>
    </row>
    <row r="513" ht="15.75" customHeight="1">
      <c r="E513" s="2"/>
      <c r="F513" s="2"/>
      <c r="G513" s="2"/>
      <c r="H513" s="2"/>
      <c r="I513" s="2"/>
      <c r="J513" s="6"/>
      <c r="BL513" s="3"/>
      <c r="BM513" s="3"/>
      <c r="BN513" s="3"/>
      <c r="BO513" s="3"/>
    </row>
    <row r="514" ht="15.75" customHeight="1">
      <c r="E514" s="2"/>
      <c r="F514" s="2"/>
      <c r="G514" s="2"/>
      <c r="H514" s="2"/>
      <c r="I514" s="2"/>
      <c r="J514" s="6"/>
      <c r="BL514" s="3"/>
      <c r="BM514" s="3"/>
      <c r="BN514" s="3"/>
      <c r="BO514" s="3"/>
    </row>
    <row r="515" ht="15.75" customHeight="1">
      <c r="E515" s="2"/>
      <c r="F515" s="2"/>
      <c r="G515" s="2"/>
      <c r="H515" s="2"/>
      <c r="I515" s="2"/>
      <c r="J515" s="6"/>
      <c r="BL515" s="3"/>
      <c r="BM515" s="3"/>
      <c r="BN515" s="3"/>
      <c r="BO515" s="3"/>
    </row>
    <row r="516" ht="15.75" customHeight="1">
      <c r="E516" s="2"/>
      <c r="F516" s="2"/>
      <c r="G516" s="2"/>
      <c r="H516" s="2"/>
      <c r="I516" s="2"/>
      <c r="J516" s="6"/>
      <c r="BL516" s="3"/>
      <c r="BM516" s="3"/>
      <c r="BN516" s="3"/>
      <c r="BO516" s="3"/>
    </row>
    <row r="517" ht="15.75" customHeight="1">
      <c r="E517" s="2"/>
      <c r="F517" s="2"/>
      <c r="G517" s="2"/>
      <c r="H517" s="2"/>
      <c r="I517" s="2"/>
      <c r="J517" s="6"/>
      <c r="BL517" s="3"/>
      <c r="BM517" s="3"/>
      <c r="BN517" s="3"/>
      <c r="BO517" s="3"/>
    </row>
    <row r="518" ht="15.75" customHeight="1">
      <c r="E518" s="2"/>
      <c r="F518" s="2"/>
      <c r="G518" s="2"/>
      <c r="H518" s="2"/>
      <c r="I518" s="2"/>
      <c r="J518" s="6"/>
      <c r="BL518" s="3"/>
      <c r="BM518" s="3"/>
      <c r="BN518" s="3"/>
      <c r="BO518" s="3"/>
    </row>
    <row r="519" ht="15.75" customHeight="1">
      <c r="E519" s="2"/>
      <c r="F519" s="2"/>
      <c r="G519" s="2"/>
      <c r="H519" s="2"/>
      <c r="I519" s="2"/>
      <c r="J519" s="6"/>
      <c r="BL519" s="3"/>
      <c r="BM519" s="3"/>
      <c r="BN519" s="3"/>
      <c r="BO519" s="3"/>
    </row>
    <row r="520" ht="15.75" customHeight="1">
      <c r="E520" s="2"/>
      <c r="F520" s="2"/>
      <c r="G520" s="2"/>
      <c r="H520" s="2"/>
      <c r="I520" s="2"/>
      <c r="J520" s="6"/>
      <c r="BL520" s="3"/>
      <c r="BM520" s="3"/>
      <c r="BN520" s="3"/>
      <c r="BO520" s="3"/>
    </row>
    <row r="521" ht="15.75" customHeight="1">
      <c r="E521" s="2"/>
      <c r="F521" s="2"/>
      <c r="G521" s="2"/>
      <c r="H521" s="2"/>
      <c r="I521" s="2"/>
      <c r="J521" s="6"/>
      <c r="BL521" s="3"/>
      <c r="BM521" s="3"/>
      <c r="BN521" s="3"/>
      <c r="BO521" s="3"/>
    </row>
    <row r="522" ht="15.75" customHeight="1">
      <c r="E522" s="2"/>
      <c r="F522" s="2"/>
      <c r="G522" s="2"/>
      <c r="H522" s="2"/>
      <c r="I522" s="2"/>
      <c r="J522" s="6"/>
      <c r="BL522" s="3"/>
      <c r="BM522" s="3"/>
      <c r="BN522" s="3"/>
      <c r="BO522" s="3"/>
    </row>
    <row r="523" ht="15.75" customHeight="1">
      <c r="E523" s="2"/>
      <c r="F523" s="2"/>
      <c r="G523" s="2"/>
      <c r="H523" s="2"/>
      <c r="I523" s="2"/>
      <c r="J523" s="6"/>
      <c r="BL523" s="3"/>
      <c r="BM523" s="3"/>
      <c r="BN523" s="3"/>
      <c r="BO523" s="3"/>
    </row>
    <row r="524" ht="15.75" customHeight="1">
      <c r="E524" s="2"/>
      <c r="F524" s="2"/>
      <c r="G524" s="2"/>
      <c r="H524" s="2"/>
      <c r="I524" s="2"/>
      <c r="J524" s="6"/>
      <c r="BL524" s="3"/>
      <c r="BM524" s="3"/>
      <c r="BN524" s="3"/>
      <c r="BO524" s="3"/>
    </row>
    <row r="525" ht="15.75" customHeight="1">
      <c r="E525" s="2"/>
      <c r="F525" s="2"/>
      <c r="G525" s="2"/>
      <c r="H525" s="2"/>
      <c r="I525" s="2"/>
      <c r="J525" s="6"/>
      <c r="BL525" s="3"/>
      <c r="BM525" s="3"/>
      <c r="BN525" s="3"/>
      <c r="BO525" s="3"/>
    </row>
    <row r="526" ht="15.75" customHeight="1">
      <c r="E526" s="2"/>
      <c r="F526" s="2"/>
      <c r="G526" s="2"/>
      <c r="H526" s="2"/>
      <c r="I526" s="2"/>
      <c r="J526" s="6"/>
      <c r="BL526" s="3"/>
      <c r="BM526" s="3"/>
      <c r="BN526" s="3"/>
      <c r="BO526" s="3"/>
    </row>
    <row r="527" ht="15.75" customHeight="1">
      <c r="E527" s="2"/>
      <c r="F527" s="2"/>
      <c r="G527" s="2"/>
      <c r="H527" s="2"/>
      <c r="I527" s="2"/>
      <c r="J527" s="6"/>
      <c r="BL527" s="3"/>
      <c r="BM527" s="3"/>
      <c r="BN527" s="3"/>
      <c r="BO527" s="3"/>
    </row>
    <row r="528" ht="15.75" customHeight="1">
      <c r="E528" s="2"/>
      <c r="F528" s="2"/>
      <c r="G528" s="2"/>
      <c r="H528" s="2"/>
      <c r="I528" s="2"/>
      <c r="J528" s="6"/>
      <c r="BL528" s="3"/>
      <c r="BM528" s="3"/>
      <c r="BN528" s="3"/>
      <c r="BO528" s="3"/>
    </row>
    <row r="529" ht="15.75" customHeight="1">
      <c r="E529" s="2"/>
      <c r="F529" s="2"/>
      <c r="G529" s="2"/>
      <c r="H529" s="2"/>
      <c r="I529" s="2"/>
      <c r="J529" s="6"/>
      <c r="BL529" s="3"/>
      <c r="BM529" s="3"/>
      <c r="BN529" s="3"/>
      <c r="BO529" s="3"/>
    </row>
    <row r="530" ht="15.75" customHeight="1">
      <c r="E530" s="2"/>
      <c r="F530" s="2"/>
      <c r="G530" s="2"/>
      <c r="H530" s="2"/>
      <c r="I530" s="2"/>
      <c r="J530" s="6"/>
      <c r="BL530" s="3"/>
      <c r="BM530" s="3"/>
      <c r="BN530" s="3"/>
      <c r="BO530" s="3"/>
    </row>
    <row r="531" ht="15.75" customHeight="1">
      <c r="E531" s="2"/>
      <c r="F531" s="2"/>
      <c r="G531" s="2"/>
      <c r="H531" s="2"/>
      <c r="I531" s="2"/>
      <c r="J531" s="6"/>
      <c r="BL531" s="3"/>
      <c r="BM531" s="3"/>
      <c r="BN531" s="3"/>
      <c r="BO531" s="3"/>
    </row>
    <row r="532" ht="15.75" customHeight="1">
      <c r="E532" s="2"/>
      <c r="F532" s="2"/>
      <c r="G532" s="2"/>
      <c r="H532" s="2"/>
      <c r="I532" s="2"/>
      <c r="J532" s="6"/>
      <c r="BL532" s="3"/>
      <c r="BM532" s="3"/>
      <c r="BN532" s="3"/>
      <c r="BO532" s="3"/>
    </row>
    <row r="533" ht="15.75" customHeight="1">
      <c r="E533" s="2"/>
      <c r="F533" s="2"/>
      <c r="G533" s="2"/>
      <c r="H533" s="2"/>
      <c r="I533" s="2"/>
      <c r="J533" s="6"/>
      <c r="BL533" s="3"/>
      <c r="BM533" s="3"/>
      <c r="BN533" s="3"/>
      <c r="BO533" s="3"/>
    </row>
    <row r="534" ht="15.75" customHeight="1">
      <c r="E534" s="2"/>
      <c r="F534" s="2"/>
      <c r="G534" s="2"/>
      <c r="H534" s="2"/>
      <c r="I534" s="2"/>
      <c r="J534" s="6"/>
      <c r="BL534" s="3"/>
      <c r="BM534" s="3"/>
      <c r="BN534" s="3"/>
      <c r="BO534" s="3"/>
    </row>
    <row r="535" ht="15.75" customHeight="1">
      <c r="E535" s="2"/>
      <c r="F535" s="2"/>
      <c r="G535" s="2"/>
      <c r="H535" s="2"/>
      <c r="I535" s="2"/>
      <c r="J535" s="6"/>
      <c r="BL535" s="3"/>
      <c r="BM535" s="3"/>
      <c r="BN535" s="3"/>
      <c r="BO535" s="3"/>
    </row>
    <row r="536" ht="15.75" customHeight="1">
      <c r="E536" s="2"/>
      <c r="F536" s="2"/>
      <c r="G536" s="2"/>
      <c r="H536" s="2"/>
      <c r="I536" s="2"/>
      <c r="J536" s="6"/>
      <c r="BL536" s="3"/>
      <c r="BM536" s="3"/>
      <c r="BN536" s="3"/>
      <c r="BO536" s="3"/>
    </row>
    <row r="537" ht="15.75" customHeight="1">
      <c r="E537" s="2"/>
      <c r="F537" s="2"/>
      <c r="G537" s="2"/>
      <c r="H537" s="2"/>
      <c r="I537" s="2"/>
      <c r="J537" s="6"/>
      <c r="BL537" s="3"/>
      <c r="BM537" s="3"/>
      <c r="BN537" s="3"/>
      <c r="BO537" s="3"/>
    </row>
    <row r="538" ht="15.75" customHeight="1">
      <c r="E538" s="2"/>
      <c r="F538" s="2"/>
      <c r="G538" s="2"/>
      <c r="H538" s="2"/>
      <c r="I538" s="2"/>
      <c r="J538" s="6"/>
      <c r="BL538" s="3"/>
      <c r="BM538" s="3"/>
      <c r="BN538" s="3"/>
      <c r="BO538" s="3"/>
    </row>
    <row r="539" ht="15.75" customHeight="1">
      <c r="E539" s="2"/>
      <c r="F539" s="2"/>
      <c r="G539" s="2"/>
      <c r="H539" s="2"/>
      <c r="I539" s="2"/>
      <c r="J539" s="6"/>
      <c r="BL539" s="3"/>
      <c r="BM539" s="3"/>
      <c r="BN539" s="3"/>
      <c r="BO539" s="3"/>
    </row>
    <row r="540" ht="15.75" customHeight="1">
      <c r="E540" s="2"/>
      <c r="F540" s="2"/>
      <c r="G540" s="2"/>
      <c r="H540" s="2"/>
      <c r="I540" s="2"/>
      <c r="J540" s="6"/>
      <c r="BL540" s="3"/>
      <c r="BM540" s="3"/>
      <c r="BN540" s="3"/>
      <c r="BO540" s="3"/>
    </row>
    <row r="541" ht="15.75" customHeight="1">
      <c r="E541" s="2"/>
      <c r="F541" s="2"/>
      <c r="G541" s="2"/>
      <c r="H541" s="2"/>
      <c r="I541" s="2"/>
      <c r="J541" s="6"/>
      <c r="BL541" s="3"/>
      <c r="BM541" s="3"/>
      <c r="BN541" s="3"/>
      <c r="BO541" s="3"/>
    </row>
    <row r="542" ht="15.75" customHeight="1">
      <c r="E542" s="2"/>
      <c r="F542" s="2"/>
      <c r="G542" s="2"/>
      <c r="H542" s="2"/>
      <c r="I542" s="2"/>
      <c r="J542" s="6"/>
      <c r="BL542" s="3"/>
      <c r="BM542" s="3"/>
      <c r="BN542" s="3"/>
      <c r="BO542" s="3"/>
    </row>
    <row r="543" ht="15.75" customHeight="1">
      <c r="E543" s="2"/>
      <c r="F543" s="2"/>
      <c r="G543" s="2"/>
      <c r="H543" s="2"/>
      <c r="I543" s="2"/>
      <c r="J543" s="6"/>
      <c r="BL543" s="3"/>
      <c r="BM543" s="3"/>
      <c r="BN543" s="3"/>
      <c r="BO543" s="3"/>
    </row>
    <row r="544" ht="15.75" customHeight="1">
      <c r="E544" s="2"/>
      <c r="F544" s="2"/>
      <c r="G544" s="2"/>
      <c r="H544" s="2"/>
      <c r="I544" s="2"/>
      <c r="J544" s="6"/>
      <c r="BL544" s="3"/>
      <c r="BM544" s="3"/>
      <c r="BN544" s="3"/>
      <c r="BO544" s="3"/>
    </row>
    <row r="545" ht="15.75" customHeight="1">
      <c r="E545" s="2"/>
      <c r="F545" s="2"/>
      <c r="G545" s="2"/>
      <c r="H545" s="2"/>
      <c r="I545" s="2"/>
      <c r="J545" s="6"/>
      <c r="BL545" s="3"/>
      <c r="BM545" s="3"/>
      <c r="BN545" s="3"/>
      <c r="BO545" s="3"/>
    </row>
    <row r="546" ht="15.75" customHeight="1">
      <c r="E546" s="2"/>
      <c r="F546" s="2"/>
      <c r="G546" s="2"/>
      <c r="H546" s="2"/>
      <c r="I546" s="2"/>
      <c r="J546" s="6"/>
      <c r="BL546" s="3"/>
      <c r="BM546" s="3"/>
      <c r="BN546" s="3"/>
      <c r="BO546" s="3"/>
    </row>
    <row r="547" ht="15.75" customHeight="1">
      <c r="E547" s="2"/>
      <c r="F547" s="2"/>
      <c r="G547" s="2"/>
      <c r="H547" s="2"/>
      <c r="I547" s="2"/>
      <c r="J547" s="6"/>
      <c r="BL547" s="3"/>
      <c r="BM547" s="3"/>
      <c r="BN547" s="3"/>
      <c r="BO547" s="3"/>
    </row>
    <row r="548" ht="15.75" customHeight="1">
      <c r="E548" s="2"/>
      <c r="F548" s="2"/>
      <c r="G548" s="2"/>
      <c r="H548" s="2"/>
      <c r="I548" s="2"/>
      <c r="J548" s="6"/>
      <c r="BL548" s="3"/>
      <c r="BM548" s="3"/>
      <c r="BN548" s="3"/>
      <c r="BO548" s="3"/>
    </row>
    <row r="549" ht="15.75" customHeight="1">
      <c r="E549" s="2"/>
      <c r="F549" s="2"/>
      <c r="G549" s="2"/>
      <c r="H549" s="2"/>
      <c r="I549" s="2"/>
      <c r="J549" s="6"/>
      <c r="BL549" s="3"/>
      <c r="BM549" s="3"/>
      <c r="BN549" s="3"/>
      <c r="BO549" s="3"/>
    </row>
    <row r="550" ht="15.75" customHeight="1">
      <c r="E550" s="2"/>
      <c r="F550" s="2"/>
      <c r="G550" s="2"/>
      <c r="H550" s="2"/>
      <c r="I550" s="2"/>
      <c r="J550" s="6"/>
      <c r="BL550" s="3"/>
      <c r="BM550" s="3"/>
      <c r="BN550" s="3"/>
      <c r="BO550" s="3"/>
    </row>
    <row r="551" ht="15.75" customHeight="1">
      <c r="E551" s="2"/>
      <c r="F551" s="2"/>
      <c r="G551" s="2"/>
      <c r="H551" s="2"/>
      <c r="I551" s="2"/>
      <c r="J551" s="6"/>
      <c r="BL551" s="3"/>
      <c r="BM551" s="3"/>
      <c r="BN551" s="3"/>
      <c r="BO551" s="3"/>
    </row>
    <row r="552" ht="15.75" customHeight="1">
      <c r="E552" s="2"/>
      <c r="F552" s="2"/>
      <c r="G552" s="2"/>
      <c r="H552" s="2"/>
      <c r="I552" s="2"/>
      <c r="J552" s="6"/>
      <c r="BL552" s="3"/>
      <c r="BM552" s="3"/>
      <c r="BN552" s="3"/>
      <c r="BO552" s="3"/>
    </row>
    <row r="553" ht="15.75" customHeight="1">
      <c r="E553" s="2"/>
      <c r="F553" s="2"/>
      <c r="G553" s="2"/>
      <c r="H553" s="2"/>
      <c r="I553" s="2"/>
      <c r="J553" s="6"/>
      <c r="BL553" s="3"/>
      <c r="BM553" s="3"/>
      <c r="BN553" s="3"/>
      <c r="BO553" s="3"/>
    </row>
    <row r="554" ht="15.75" customHeight="1">
      <c r="E554" s="2"/>
      <c r="F554" s="2"/>
      <c r="G554" s="2"/>
      <c r="H554" s="2"/>
      <c r="I554" s="2"/>
      <c r="J554" s="6"/>
      <c r="BL554" s="3"/>
      <c r="BM554" s="3"/>
      <c r="BN554" s="3"/>
      <c r="BO554" s="3"/>
    </row>
    <row r="555" ht="15.75" customHeight="1">
      <c r="E555" s="2"/>
      <c r="F555" s="2"/>
      <c r="G555" s="2"/>
      <c r="H555" s="2"/>
      <c r="I555" s="2"/>
      <c r="J555" s="6"/>
      <c r="BL555" s="3"/>
      <c r="BM555" s="3"/>
      <c r="BN555" s="3"/>
      <c r="BO555" s="3"/>
    </row>
    <row r="556" ht="15.75" customHeight="1">
      <c r="E556" s="2"/>
      <c r="F556" s="2"/>
      <c r="G556" s="2"/>
      <c r="H556" s="2"/>
      <c r="I556" s="2"/>
      <c r="J556" s="6"/>
      <c r="BL556" s="3"/>
      <c r="BM556" s="3"/>
      <c r="BN556" s="3"/>
      <c r="BO556" s="3"/>
    </row>
    <row r="557" ht="15.75" customHeight="1">
      <c r="E557" s="2"/>
      <c r="F557" s="2"/>
      <c r="G557" s="2"/>
      <c r="H557" s="2"/>
      <c r="I557" s="2"/>
      <c r="J557" s="6"/>
      <c r="BL557" s="3"/>
      <c r="BM557" s="3"/>
      <c r="BN557" s="3"/>
      <c r="BO557" s="3"/>
    </row>
    <row r="558" ht="15.75" customHeight="1">
      <c r="E558" s="2"/>
      <c r="F558" s="2"/>
      <c r="G558" s="2"/>
      <c r="H558" s="2"/>
      <c r="I558" s="2"/>
      <c r="J558" s="6"/>
      <c r="BL558" s="3"/>
      <c r="BM558" s="3"/>
      <c r="BN558" s="3"/>
      <c r="BO558" s="3"/>
    </row>
    <row r="559" ht="15.75" customHeight="1">
      <c r="E559" s="2"/>
      <c r="F559" s="2"/>
      <c r="G559" s="2"/>
      <c r="H559" s="2"/>
      <c r="I559" s="2"/>
      <c r="J559" s="6"/>
      <c r="BL559" s="3"/>
      <c r="BM559" s="3"/>
      <c r="BN559" s="3"/>
      <c r="BO559" s="3"/>
    </row>
    <row r="560" ht="15.75" customHeight="1">
      <c r="E560" s="2"/>
      <c r="F560" s="2"/>
      <c r="G560" s="2"/>
      <c r="H560" s="2"/>
      <c r="I560" s="2"/>
      <c r="J560" s="6"/>
      <c r="BL560" s="3"/>
      <c r="BM560" s="3"/>
      <c r="BN560" s="3"/>
      <c r="BO560" s="3"/>
    </row>
    <row r="561" ht="15.75" customHeight="1">
      <c r="E561" s="2"/>
      <c r="F561" s="2"/>
      <c r="G561" s="2"/>
      <c r="H561" s="2"/>
      <c r="I561" s="2"/>
      <c r="J561" s="6"/>
      <c r="BL561" s="3"/>
      <c r="BM561" s="3"/>
      <c r="BN561" s="3"/>
      <c r="BO561" s="3"/>
    </row>
    <row r="562" ht="15.75" customHeight="1">
      <c r="E562" s="2"/>
      <c r="F562" s="2"/>
      <c r="G562" s="2"/>
      <c r="H562" s="2"/>
      <c r="I562" s="2"/>
      <c r="J562" s="6"/>
      <c r="BL562" s="3"/>
      <c r="BM562" s="3"/>
      <c r="BN562" s="3"/>
      <c r="BO562" s="3"/>
    </row>
    <row r="563" ht="15.75" customHeight="1">
      <c r="E563" s="2"/>
      <c r="F563" s="2"/>
      <c r="G563" s="2"/>
      <c r="H563" s="2"/>
      <c r="I563" s="2"/>
      <c r="J563" s="6"/>
      <c r="BL563" s="3"/>
      <c r="BM563" s="3"/>
      <c r="BN563" s="3"/>
      <c r="BO563" s="3"/>
    </row>
    <row r="564" ht="15.75" customHeight="1">
      <c r="E564" s="2"/>
      <c r="F564" s="2"/>
      <c r="G564" s="2"/>
      <c r="H564" s="2"/>
      <c r="I564" s="2"/>
      <c r="J564" s="6"/>
      <c r="BL564" s="3"/>
      <c r="BM564" s="3"/>
      <c r="BN564" s="3"/>
      <c r="BO564" s="3"/>
    </row>
    <row r="565" ht="15.75" customHeight="1">
      <c r="E565" s="2"/>
      <c r="F565" s="2"/>
      <c r="G565" s="2"/>
      <c r="H565" s="2"/>
      <c r="I565" s="2"/>
      <c r="J565" s="6"/>
      <c r="BL565" s="3"/>
      <c r="BM565" s="3"/>
      <c r="BN565" s="3"/>
      <c r="BO565" s="3"/>
    </row>
    <row r="566" ht="15.75" customHeight="1">
      <c r="E566" s="2"/>
      <c r="F566" s="2"/>
      <c r="G566" s="2"/>
      <c r="H566" s="2"/>
      <c r="I566" s="2"/>
      <c r="J566" s="6"/>
      <c r="BL566" s="3"/>
      <c r="BM566" s="3"/>
      <c r="BN566" s="3"/>
      <c r="BO566" s="3"/>
    </row>
    <row r="567" ht="15.75" customHeight="1">
      <c r="E567" s="2"/>
      <c r="F567" s="2"/>
      <c r="G567" s="2"/>
      <c r="H567" s="2"/>
      <c r="I567" s="2"/>
      <c r="J567" s="6"/>
      <c r="BL567" s="3"/>
      <c r="BM567" s="3"/>
      <c r="BN567" s="3"/>
      <c r="BO567" s="3"/>
    </row>
    <row r="568" ht="15.75" customHeight="1">
      <c r="E568" s="2"/>
      <c r="F568" s="2"/>
      <c r="G568" s="2"/>
      <c r="H568" s="2"/>
      <c r="I568" s="2"/>
      <c r="J568" s="6"/>
      <c r="BL568" s="3"/>
      <c r="BM568" s="3"/>
      <c r="BN568" s="3"/>
      <c r="BO568" s="3"/>
    </row>
    <row r="569" ht="15.75" customHeight="1">
      <c r="E569" s="2"/>
      <c r="F569" s="2"/>
      <c r="G569" s="2"/>
      <c r="H569" s="2"/>
      <c r="I569" s="2"/>
      <c r="J569" s="6"/>
      <c r="BL569" s="3"/>
      <c r="BM569" s="3"/>
      <c r="BN569" s="3"/>
      <c r="BO569" s="3"/>
    </row>
    <row r="570" ht="15.75" customHeight="1">
      <c r="E570" s="2"/>
      <c r="F570" s="2"/>
      <c r="G570" s="2"/>
      <c r="H570" s="2"/>
      <c r="I570" s="2"/>
      <c r="J570" s="6"/>
      <c r="BL570" s="3"/>
      <c r="BM570" s="3"/>
      <c r="BN570" s="3"/>
      <c r="BO570" s="3"/>
    </row>
    <row r="571" ht="15.75" customHeight="1">
      <c r="E571" s="2"/>
      <c r="F571" s="2"/>
      <c r="G571" s="2"/>
      <c r="H571" s="2"/>
      <c r="I571" s="2"/>
      <c r="J571" s="6"/>
      <c r="BL571" s="3"/>
      <c r="BM571" s="3"/>
      <c r="BN571" s="3"/>
      <c r="BO571" s="3"/>
    </row>
    <row r="572" ht="15.75" customHeight="1">
      <c r="E572" s="2"/>
      <c r="F572" s="2"/>
      <c r="G572" s="2"/>
      <c r="H572" s="2"/>
      <c r="I572" s="2"/>
      <c r="J572" s="6"/>
      <c r="BL572" s="3"/>
      <c r="BM572" s="3"/>
      <c r="BN572" s="3"/>
      <c r="BO572" s="3"/>
    </row>
    <row r="573" ht="15.75" customHeight="1">
      <c r="E573" s="2"/>
      <c r="F573" s="2"/>
      <c r="G573" s="2"/>
      <c r="H573" s="2"/>
      <c r="I573" s="2"/>
      <c r="J573" s="6"/>
      <c r="BL573" s="3"/>
      <c r="BM573" s="3"/>
      <c r="BN573" s="3"/>
      <c r="BO573" s="3"/>
    </row>
    <row r="574" ht="15.75" customHeight="1">
      <c r="E574" s="2"/>
      <c r="F574" s="2"/>
      <c r="G574" s="2"/>
      <c r="H574" s="2"/>
      <c r="I574" s="2"/>
      <c r="J574" s="6"/>
      <c r="BL574" s="3"/>
      <c r="BM574" s="3"/>
      <c r="BN574" s="3"/>
      <c r="BO574" s="3"/>
    </row>
    <row r="575" ht="15.75" customHeight="1">
      <c r="E575" s="2"/>
      <c r="F575" s="2"/>
      <c r="G575" s="2"/>
      <c r="H575" s="2"/>
      <c r="I575" s="2"/>
      <c r="J575" s="6"/>
      <c r="BL575" s="3"/>
      <c r="BM575" s="3"/>
      <c r="BN575" s="3"/>
      <c r="BO575" s="3"/>
    </row>
    <row r="576" ht="15.75" customHeight="1">
      <c r="E576" s="2"/>
      <c r="F576" s="2"/>
      <c r="G576" s="2"/>
      <c r="H576" s="2"/>
      <c r="I576" s="2"/>
      <c r="J576" s="6"/>
      <c r="BL576" s="3"/>
      <c r="BM576" s="3"/>
      <c r="BN576" s="3"/>
      <c r="BO576" s="3"/>
    </row>
    <row r="577" ht="15.75" customHeight="1">
      <c r="E577" s="2"/>
      <c r="F577" s="2"/>
      <c r="G577" s="2"/>
      <c r="H577" s="2"/>
      <c r="I577" s="2"/>
      <c r="J577" s="6"/>
      <c r="BL577" s="3"/>
      <c r="BM577" s="3"/>
      <c r="BN577" s="3"/>
      <c r="BO577" s="3"/>
    </row>
    <row r="578" ht="15.75" customHeight="1">
      <c r="E578" s="2"/>
      <c r="F578" s="2"/>
      <c r="G578" s="2"/>
      <c r="H578" s="2"/>
      <c r="I578" s="2"/>
      <c r="J578" s="6"/>
      <c r="BL578" s="3"/>
      <c r="BM578" s="3"/>
      <c r="BN578" s="3"/>
      <c r="BO578" s="3"/>
    </row>
    <row r="579" ht="15.75" customHeight="1">
      <c r="E579" s="2"/>
      <c r="F579" s="2"/>
      <c r="G579" s="2"/>
      <c r="H579" s="2"/>
      <c r="I579" s="2"/>
      <c r="J579" s="6"/>
      <c r="BL579" s="3"/>
      <c r="BM579" s="3"/>
      <c r="BN579" s="3"/>
      <c r="BO579" s="3"/>
    </row>
    <row r="580" ht="15.75" customHeight="1">
      <c r="E580" s="2"/>
      <c r="F580" s="2"/>
      <c r="G580" s="2"/>
      <c r="H580" s="2"/>
      <c r="I580" s="2"/>
      <c r="J580" s="6"/>
      <c r="BL580" s="3"/>
      <c r="BM580" s="3"/>
      <c r="BN580" s="3"/>
      <c r="BO580" s="3"/>
    </row>
    <row r="581" ht="15.75" customHeight="1">
      <c r="E581" s="2"/>
      <c r="F581" s="2"/>
      <c r="G581" s="2"/>
      <c r="H581" s="2"/>
      <c r="I581" s="2"/>
      <c r="J581" s="6"/>
      <c r="BL581" s="3"/>
      <c r="BM581" s="3"/>
      <c r="BN581" s="3"/>
      <c r="BO581" s="3"/>
    </row>
    <row r="582" ht="15.75" customHeight="1">
      <c r="E582" s="2"/>
      <c r="F582" s="2"/>
      <c r="G582" s="2"/>
      <c r="H582" s="2"/>
      <c r="I582" s="2"/>
      <c r="J582" s="6"/>
      <c r="BL582" s="3"/>
      <c r="BM582" s="3"/>
      <c r="BN582" s="3"/>
      <c r="BO582" s="3"/>
    </row>
    <row r="583" ht="15.75" customHeight="1">
      <c r="E583" s="2"/>
      <c r="F583" s="2"/>
      <c r="G583" s="2"/>
      <c r="H583" s="2"/>
      <c r="I583" s="2"/>
      <c r="J583" s="6"/>
      <c r="BL583" s="3"/>
      <c r="BM583" s="3"/>
      <c r="BN583" s="3"/>
      <c r="BO583" s="3"/>
    </row>
    <row r="584" ht="15.75" customHeight="1">
      <c r="E584" s="2"/>
      <c r="F584" s="2"/>
      <c r="G584" s="2"/>
      <c r="H584" s="2"/>
      <c r="I584" s="2"/>
      <c r="J584" s="6"/>
      <c r="BL584" s="3"/>
      <c r="BM584" s="3"/>
      <c r="BN584" s="3"/>
      <c r="BO584" s="3"/>
    </row>
    <row r="585" ht="15.75" customHeight="1">
      <c r="E585" s="2"/>
      <c r="F585" s="2"/>
      <c r="G585" s="2"/>
      <c r="H585" s="2"/>
      <c r="I585" s="2"/>
      <c r="J585" s="6"/>
      <c r="BL585" s="3"/>
      <c r="BM585" s="3"/>
      <c r="BN585" s="3"/>
      <c r="BO585" s="3"/>
    </row>
    <row r="586" ht="15.75" customHeight="1">
      <c r="E586" s="2"/>
      <c r="F586" s="2"/>
      <c r="G586" s="2"/>
      <c r="H586" s="2"/>
      <c r="I586" s="2"/>
      <c r="J586" s="6"/>
      <c r="BL586" s="3"/>
      <c r="BM586" s="3"/>
      <c r="BN586" s="3"/>
      <c r="BO586" s="3"/>
    </row>
    <row r="587" ht="15.75" customHeight="1">
      <c r="E587" s="2"/>
      <c r="F587" s="2"/>
      <c r="G587" s="2"/>
      <c r="H587" s="2"/>
      <c r="I587" s="2"/>
      <c r="J587" s="6"/>
      <c r="BL587" s="3"/>
      <c r="BM587" s="3"/>
      <c r="BN587" s="3"/>
      <c r="BO587" s="3"/>
    </row>
    <row r="588" ht="15.75" customHeight="1">
      <c r="E588" s="2"/>
      <c r="F588" s="2"/>
      <c r="G588" s="2"/>
      <c r="H588" s="2"/>
      <c r="I588" s="2"/>
      <c r="J588" s="6"/>
      <c r="BL588" s="3"/>
      <c r="BM588" s="3"/>
      <c r="BN588" s="3"/>
      <c r="BO588" s="3"/>
    </row>
    <row r="589" ht="15.75" customHeight="1">
      <c r="E589" s="2"/>
      <c r="F589" s="2"/>
      <c r="G589" s="2"/>
      <c r="H589" s="2"/>
      <c r="I589" s="2"/>
      <c r="J589" s="6"/>
      <c r="BL589" s="3"/>
      <c r="BM589" s="3"/>
      <c r="BN589" s="3"/>
      <c r="BO589" s="3"/>
    </row>
    <row r="590" ht="15.75" customHeight="1">
      <c r="E590" s="2"/>
      <c r="F590" s="2"/>
      <c r="G590" s="2"/>
      <c r="H590" s="2"/>
      <c r="I590" s="2"/>
      <c r="J590" s="6"/>
      <c r="BL590" s="3"/>
      <c r="BM590" s="3"/>
      <c r="BN590" s="3"/>
      <c r="BO590" s="3"/>
    </row>
    <row r="591" ht="15.75" customHeight="1">
      <c r="E591" s="2"/>
      <c r="F591" s="2"/>
      <c r="G591" s="2"/>
      <c r="H591" s="2"/>
      <c r="I591" s="2"/>
      <c r="J591" s="6"/>
      <c r="BL591" s="3"/>
      <c r="BM591" s="3"/>
      <c r="BN591" s="3"/>
      <c r="BO591" s="3"/>
    </row>
    <row r="592" ht="15.75" customHeight="1">
      <c r="E592" s="2"/>
      <c r="F592" s="2"/>
      <c r="G592" s="2"/>
      <c r="H592" s="2"/>
      <c r="I592" s="2"/>
      <c r="J592" s="6"/>
      <c r="BL592" s="3"/>
      <c r="BM592" s="3"/>
      <c r="BN592" s="3"/>
      <c r="BO592" s="3"/>
    </row>
    <row r="593" ht="15.75" customHeight="1">
      <c r="E593" s="2"/>
      <c r="F593" s="2"/>
      <c r="G593" s="2"/>
      <c r="H593" s="2"/>
      <c r="I593" s="2"/>
      <c r="J593" s="6"/>
      <c r="BL593" s="3"/>
      <c r="BM593" s="3"/>
      <c r="BN593" s="3"/>
      <c r="BO593" s="3"/>
    </row>
    <row r="594" ht="15.75" customHeight="1">
      <c r="E594" s="2"/>
      <c r="F594" s="2"/>
      <c r="G594" s="2"/>
      <c r="H594" s="2"/>
      <c r="I594" s="2"/>
      <c r="J594" s="6"/>
      <c r="BL594" s="3"/>
      <c r="BM594" s="3"/>
      <c r="BN594" s="3"/>
      <c r="BO594" s="3"/>
    </row>
    <row r="595" ht="15.75" customHeight="1">
      <c r="E595" s="2"/>
      <c r="F595" s="2"/>
      <c r="G595" s="2"/>
      <c r="H595" s="2"/>
      <c r="I595" s="2"/>
      <c r="J595" s="6"/>
      <c r="BL595" s="3"/>
      <c r="BM595" s="3"/>
      <c r="BN595" s="3"/>
      <c r="BO595" s="3"/>
    </row>
    <row r="596" ht="15.75" customHeight="1">
      <c r="E596" s="2"/>
      <c r="F596" s="2"/>
      <c r="G596" s="2"/>
      <c r="H596" s="2"/>
      <c r="I596" s="2"/>
      <c r="J596" s="6"/>
      <c r="BL596" s="3"/>
      <c r="BM596" s="3"/>
      <c r="BN596" s="3"/>
      <c r="BO596" s="3"/>
    </row>
    <row r="597" ht="15.75" customHeight="1">
      <c r="E597" s="2"/>
      <c r="F597" s="2"/>
      <c r="G597" s="2"/>
      <c r="H597" s="2"/>
      <c r="I597" s="2"/>
      <c r="J597" s="6"/>
      <c r="BL597" s="3"/>
      <c r="BM597" s="3"/>
      <c r="BN597" s="3"/>
      <c r="BO597" s="3"/>
    </row>
    <row r="598" ht="15.75" customHeight="1">
      <c r="E598" s="2"/>
      <c r="F598" s="2"/>
      <c r="G598" s="2"/>
      <c r="H598" s="2"/>
      <c r="I598" s="2"/>
      <c r="J598" s="6"/>
      <c r="BL598" s="3"/>
      <c r="BM598" s="3"/>
      <c r="BN598" s="3"/>
      <c r="BO598" s="3"/>
    </row>
    <row r="599" ht="15.75" customHeight="1">
      <c r="E599" s="2"/>
      <c r="F599" s="2"/>
      <c r="G599" s="2"/>
      <c r="H599" s="2"/>
      <c r="I599" s="2"/>
      <c r="J599" s="6"/>
      <c r="BL599" s="3"/>
      <c r="BM599" s="3"/>
      <c r="BN599" s="3"/>
      <c r="BO599" s="3"/>
    </row>
    <row r="600" ht="15.75" customHeight="1">
      <c r="E600" s="2"/>
      <c r="F600" s="2"/>
      <c r="G600" s="2"/>
      <c r="H600" s="2"/>
      <c r="I600" s="2"/>
      <c r="J600" s="6"/>
      <c r="BL600" s="3"/>
      <c r="BM600" s="3"/>
      <c r="BN600" s="3"/>
      <c r="BO600" s="3"/>
    </row>
    <row r="601" ht="15.75" customHeight="1">
      <c r="E601" s="2"/>
      <c r="F601" s="2"/>
      <c r="G601" s="2"/>
      <c r="H601" s="2"/>
      <c r="I601" s="2"/>
      <c r="J601" s="6"/>
      <c r="BL601" s="3"/>
      <c r="BM601" s="3"/>
      <c r="BN601" s="3"/>
      <c r="BO601" s="3"/>
    </row>
    <row r="602" ht="15.75" customHeight="1">
      <c r="E602" s="2"/>
      <c r="F602" s="2"/>
      <c r="G602" s="2"/>
      <c r="H602" s="2"/>
      <c r="I602" s="2"/>
      <c r="J602" s="6"/>
      <c r="BL602" s="3"/>
      <c r="BM602" s="3"/>
      <c r="BN602" s="3"/>
      <c r="BO602" s="3"/>
    </row>
    <row r="603" ht="15.75" customHeight="1">
      <c r="E603" s="2"/>
      <c r="F603" s="2"/>
      <c r="G603" s="2"/>
      <c r="H603" s="2"/>
      <c r="I603" s="2"/>
      <c r="J603" s="6"/>
      <c r="BL603" s="3"/>
      <c r="BM603" s="3"/>
      <c r="BN603" s="3"/>
      <c r="BO603" s="3"/>
    </row>
    <row r="604" ht="15.75" customHeight="1">
      <c r="E604" s="2"/>
      <c r="F604" s="2"/>
      <c r="G604" s="2"/>
      <c r="H604" s="2"/>
      <c r="I604" s="2"/>
      <c r="J604" s="6"/>
      <c r="BL604" s="3"/>
      <c r="BM604" s="3"/>
      <c r="BN604" s="3"/>
      <c r="BO604" s="3"/>
    </row>
    <row r="605" ht="15.75" customHeight="1">
      <c r="E605" s="2"/>
      <c r="F605" s="2"/>
      <c r="G605" s="2"/>
      <c r="H605" s="2"/>
      <c r="I605" s="2"/>
      <c r="J605" s="6"/>
      <c r="BL605" s="3"/>
      <c r="BM605" s="3"/>
      <c r="BN605" s="3"/>
      <c r="BO605" s="3"/>
    </row>
    <row r="606" ht="15.75" customHeight="1">
      <c r="E606" s="2"/>
      <c r="F606" s="2"/>
      <c r="G606" s="2"/>
      <c r="H606" s="2"/>
      <c r="I606" s="2"/>
      <c r="J606" s="6"/>
      <c r="BL606" s="3"/>
      <c r="BM606" s="3"/>
      <c r="BN606" s="3"/>
      <c r="BO606" s="3"/>
    </row>
    <row r="607" ht="15.75" customHeight="1">
      <c r="E607" s="2"/>
      <c r="F607" s="2"/>
      <c r="G607" s="2"/>
      <c r="H607" s="2"/>
      <c r="I607" s="2"/>
      <c r="J607" s="6"/>
      <c r="BL607" s="3"/>
      <c r="BM607" s="3"/>
      <c r="BN607" s="3"/>
      <c r="BO607" s="3"/>
    </row>
    <row r="608" ht="15.75" customHeight="1">
      <c r="E608" s="2"/>
      <c r="F608" s="2"/>
      <c r="G608" s="2"/>
      <c r="H608" s="2"/>
      <c r="I608" s="2"/>
      <c r="J608" s="6"/>
      <c r="BL608" s="3"/>
      <c r="BM608" s="3"/>
      <c r="BN608" s="3"/>
      <c r="BO608" s="3"/>
    </row>
    <row r="609" ht="15.75" customHeight="1">
      <c r="E609" s="2"/>
      <c r="F609" s="2"/>
      <c r="G609" s="2"/>
      <c r="H609" s="2"/>
      <c r="I609" s="2"/>
      <c r="J609" s="6"/>
      <c r="BL609" s="3"/>
      <c r="BM609" s="3"/>
      <c r="BN609" s="3"/>
      <c r="BO609" s="3"/>
    </row>
    <row r="610" ht="15.75" customHeight="1">
      <c r="E610" s="2"/>
      <c r="F610" s="2"/>
      <c r="G610" s="2"/>
      <c r="H610" s="2"/>
      <c r="I610" s="2"/>
      <c r="J610" s="6"/>
      <c r="BL610" s="3"/>
      <c r="BM610" s="3"/>
      <c r="BN610" s="3"/>
      <c r="BO610" s="3"/>
    </row>
    <row r="611" ht="15.75" customHeight="1">
      <c r="E611" s="2"/>
      <c r="F611" s="2"/>
      <c r="G611" s="2"/>
      <c r="H611" s="2"/>
      <c r="I611" s="2"/>
      <c r="J611" s="6"/>
      <c r="BL611" s="3"/>
      <c r="BM611" s="3"/>
      <c r="BN611" s="3"/>
      <c r="BO611" s="3"/>
    </row>
    <row r="612" ht="15.75" customHeight="1">
      <c r="E612" s="2"/>
      <c r="F612" s="2"/>
      <c r="G612" s="2"/>
      <c r="H612" s="2"/>
      <c r="I612" s="2"/>
      <c r="J612" s="6"/>
      <c r="BL612" s="3"/>
      <c r="BM612" s="3"/>
      <c r="BN612" s="3"/>
      <c r="BO612" s="3"/>
    </row>
    <row r="613" ht="15.75" customHeight="1">
      <c r="E613" s="2"/>
      <c r="F613" s="2"/>
      <c r="G613" s="2"/>
      <c r="H613" s="2"/>
      <c r="I613" s="2"/>
      <c r="J613" s="6"/>
      <c r="BL613" s="3"/>
      <c r="BM613" s="3"/>
      <c r="BN613" s="3"/>
      <c r="BO613" s="3"/>
    </row>
    <row r="614" ht="15.75" customHeight="1">
      <c r="E614" s="2"/>
      <c r="F614" s="2"/>
      <c r="G614" s="2"/>
      <c r="H614" s="2"/>
      <c r="I614" s="2"/>
      <c r="J614" s="6"/>
      <c r="BL614" s="3"/>
      <c r="BM614" s="3"/>
      <c r="BN614" s="3"/>
      <c r="BO614" s="3"/>
    </row>
    <row r="615" ht="15.75" customHeight="1">
      <c r="E615" s="2"/>
      <c r="F615" s="2"/>
      <c r="G615" s="2"/>
      <c r="H615" s="2"/>
      <c r="I615" s="2"/>
      <c r="J615" s="6"/>
      <c r="BL615" s="3"/>
      <c r="BM615" s="3"/>
      <c r="BN615" s="3"/>
      <c r="BO615" s="3"/>
    </row>
    <row r="616" ht="15.75" customHeight="1">
      <c r="E616" s="2"/>
      <c r="F616" s="2"/>
      <c r="G616" s="2"/>
      <c r="H616" s="2"/>
      <c r="I616" s="2"/>
      <c r="J616" s="6"/>
      <c r="BL616" s="3"/>
      <c r="BM616" s="3"/>
      <c r="BN616" s="3"/>
      <c r="BO616" s="3"/>
    </row>
    <row r="617" ht="15.75" customHeight="1">
      <c r="E617" s="2"/>
      <c r="F617" s="2"/>
      <c r="G617" s="2"/>
      <c r="H617" s="2"/>
      <c r="I617" s="2"/>
      <c r="J617" s="6"/>
      <c r="BL617" s="3"/>
      <c r="BM617" s="3"/>
      <c r="BN617" s="3"/>
      <c r="BO617" s="3"/>
    </row>
    <row r="618" ht="15.75" customHeight="1">
      <c r="E618" s="2"/>
      <c r="F618" s="2"/>
      <c r="G618" s="2"/>
      <c r="H618" s="2"/>
      <c r="I618" s="2"/>
      <c r="J618" s="6"/>
      <c r="BL618" s="3"/>
      <c r="BM618" s="3"/>
      <c r="BN618" s="3"/>
      <c r="BO618" s="3"/>
    </row>
    <row r="619" ht="15.75" customHeight="1">
      <c r="E619" s="2"/>
      <c r="F619" s="2"/>
      <c r="G619" s="2"/>
      <c r="H619" s="2"/>
      <c r="I619" s="2"/>
      <c r="J619" s="6"/>
      <c r="BL619" s="3"/>
      <c r="BM619" s="3"/>
      <c r="BN619" s="3"/>
      <c r="BO619" s="3"/>
    </row>
    <row r="620" ht="15.75" customHeight="1">
      <c r="E620" s="2"/>
      <c r="F620" s="2"/>
      <c r="G620" s="2"/>
      <c r="H620" s="2"/>
      <c r="I620" s="2"/>
      <c r="J620" s="6"/>
      <c r="BL620" s="3"/>
      <c r="BM620" s="3"/>
      <c r="BN620" s="3"/>
      <c r="BO620" s="3"/>
    </row>
    <row r="621" ht="15.75" customHeight="1">
      <c r="E621" s="2"/>
      <c r="F621" s="2"/>
      <c r="G621" s="2"/>
      <c r="H621" s="2"/>
      <c r="I621" s="2"/>
      <c r="J621" s="6"/>
      <c r="BL621" s="3"/>
      <c r="BM621" s="3"/>
      <c r="BN621" s="3"/>
      <c r="BO621" s="3"/>
    </row>
    <row r="622" ht="15.75" customHeight="1">
      <c r="E622" s="2"/>
      <c r="F622" s="2"/>
      <c r="G622" s="2"/>
      <c r="H622" s="2"/>
      <c r="I622" s="2"/>
      <c r="J622" s="6"/>
      <c r="BL622" s="3"/>
      <c r="BM622" s="3"/>
      <c r="BN622" s="3"/>
      <c r="BO622" s="3"/>
    </row>
    <row r="623" ht="15.75" customHeight="1">
      <c r="E623" s="2"/>
      <c r="F623" s="2"/>
      <c r="G623" s="2"/>
      <c r="H623" s="2"/>
      <c r="I623" s="2"/>
      <c r="J623" s="6"/>
      <c r="BL623" s="3"/>
      <c r="BM623" s="3"/>
      <c r="BN623" s="3"/>
      <c r="BO623" s="3"/>
    </row>
    <row r="624" ht="15.75" customHeight="1">
      <c r="E624" s="2"/>
      <c r="F624" s="2"/>
      <c r="G624" s="2"/>
      <c r="H624" s="2"/>
      <c r="I624" s="2"/>
      <c r="J624" s="6"/>
      <c r="BL624" s="3"/>
      <c r="BM624" s="3"/>
      <c r="BN624" s="3"/>
      <c r="BO624" s="3"/>
    </row>
    <row r="625" ht="15.75" customHeight="1">
      <c r="E625" s="2"/>
      <c r="F625" s="2"/>
      <c r="G625" s="2"/>
      <c r="H625" s="2"/>
      <c r="I625" s="2"/>
      <c r="J625" s="6"/>
      <c r="BL625" s="3"/>
      <c r="BM625" s="3"/>
      <c r="BN625" s="3"/>
      <c r="BO625" s="3"/>
    </row>
    <row r="626" ht="15.75" customHeight="1">
      <c r="E626" s="2"/>
      <c r="F626" s="2"/>
      <c r="G626" s="2"/>
      <c r="H626" s="2"/>
      <c r="I626" s="2"/>
      <c r="J626" s="6"/>
      <c r="BL626" s="3"/>
      <c r="BM626" s="3"/>
      <c r="BN626" s="3"/>
      <c r="BO626" s="3"/>
    </row>
    <row r="627" ht="15.75" customHeight="1">
      <c r="E627" s="2"/>
      <c r="F627" s="2"/>
      <c r="G627" s="2"/>
      <c r="H627" s="2"/>
      <c r="I627" s="2"/>
      <c r="J627" s="6"/>
      <c r="BL627" s="3"/>
      <c r="BM627" s="3"/>
      <c r="BN627" s="3"/>
      <c r="BO627" s="3"/>
    </row>
    <row r="628" ht="15.75" customHeight="1">
      <c r="E628" s="2"/>
      <c r="F628" s="2"/>
      <c r="G628" s="2"/>
      <c r="H628" s="2"/>
      <c r="I628" s="2"/>
      <c r="J628" s="6"/>
      <c r="BL628" s="3"/>
      <c r="BM628" s="3"/>
      <c r="BN628" s="3"/>
      <c r="BO628" s="3"/>
    </row>
    <row r="629" ht="15.75" customHeight="1">
      <c r="E629" s="2"/>
      <c r="F629" s="2"/>
      <c r="G629" s="2"/>
      <c r="H629" s="2"/>
      <c r="I629" s="2"/>
      <c r="J629" s="6"/>
      <c r="BL629" s="3"/>
      <c r="BM629" s="3"/>
      <c r="BN629" s="3"/>
      <c r="BO629" s="3"/>
    </row>
    <row r="630" ht="15.75" customHeight="1">
      <c r="E630" s="2"/>
      <c r="F630" s="2"/>
      <c r="G630" s="2"/>
      <c r="H630" s="2"/>
      <c r="I630" s="2"/>
      <c r="J630" s="6"/>
      <c r="BL630" s="3"/>
      <c r="BM630" s="3"/>
      <c r="BN630" s="3"/>
      <c r="BO630" s="3"/>
    </row>
    <row r="631" ht="15.75" customHeight="1">
      <c r="E631" s="2"/>
      <c r="F631" s="2"/>
      <c r="G631" s="2"/>
      <c r="H631" s="2"/>
      <c r="I631" s="2"/>
      <c r="J631" s="6"/>
      <c r="BL631" s="3"/>
      <c r="BM631" s="3"/>
      <c r="BN631" s="3"/>
      <c r="BO631" s="3"/>
    </row>
    <row r="632" ht="15.75" customHeight="1">
      <c r="E632" s="2"/>
      <c r="F632" s="2"/>
      <c r="G632" s="2"/>
      <c r="H632" s="2"/>
      <c r="I632" s="2"/>
      <c r="J632" s="6"/>
      <c r="BL632" s="3"/>
      <c r="BM632" s="3"/>
      <c r="BN632" s="3"/>
      <c r="BO632" s="3"/>
    </row>
    <row r="633" ht="15.75" customHeight="1">
      <c r="E633" s="2"/>
      <c r="F633" s="2"/>
      <c r="G633" s="2"/>
      <c r="H633" s="2"/>
      <c r="I633" s="2"/>
      <c r="J633" s="6"/>
      <c r="BL633" s="3"/>
      <c r="BM633" s="3"/>
      <c r="BN633" s="3"/>
      <c r="BO633" s="3"/>
    </row>
    <row r="634" ht="15.75" customHeight="1">
      <c r="E634" s="2"/>
      <c r="F634" s="2"/>
      <c r="G634" s="2"/>
      <c r="H634" s="2"/>
      <c r="I634" s="2"/>
      <c r="J634" s="6"/>
      <c r="BL634" s="3"/>
      <c r="BM634" s="3"/>
      <c r="BN634" s="3"/>
      <c r="BO634" s="3"/>
    </row>
    <row r="635" ht="15.75" customHeight="1">
      <c r="E635" s="2"/>
      <c r="F635" s="2"/>
      <c r="G635" s="2"/>
      <c r="H635" s="2"/>
      <c r="I635" s="2"/>
      <c r="J635" s="6"/>
      <c r="BL635" s="3"/>
      <c r="BM635" s="3"/>
      <c r="BN635" s="3"/>
      <c r="BO635" s="3"/>
    </row>
    <row r="636" ht="15.75" customHeight="1">
      <c r="E636" s="2"/>
      <c r="F636" s="2"/>
      <c r="G636" s="2"/>
      <c r="H636" s="2"/>
      <c r="I636" s="2"/>
      <c r="J636" s="6"/>
      <c r="BL636" s="3"/>
      <c r="BM636" s="3"/>
      <c r="BN636" s="3"/>
      <c r="BO636" s="3"/>
    </row>
    <row r="637" ht="15.75" customHeight="1">
      <c r="E637" s="2"/>
      <c r="F637" s="2"/>
      <c r="G637" s="2"/>
      <c r="H637" s="2"/>
      <c r="I637" s="2"/>
      <c r="J637" s="6"/>
      <c r="BL637" s="3"/>
      <c r="BM637" s="3"/>
      <c r="BN637" s="3"/>
      <c r="BO637" s="3"/>
    </row>
    <row r="638" ht="15.75" customHeight="1">
      <c r="E638" s="2"/>
      <c r="F638" s="2"/>
      <c r="G638" s="2"/>
      <c r="H638" s="2"/>
      <c r="I638" s="2"/>
      <c r="J638" s="6"/>
      <c r="BL638" s="3"/>
      <c r="BM638" s="3"/>
      <c r="BN638" s="3"/>
      <c r="BO638" s="3"/>
    </row>
    <row r="639" ht="15.75" customHeight="1">
      <c r="E639" s="2"/>
      <c r="F639" s="2"/>
      <c r="G639" s="2"/>
      <c r="H639" s="2"/>
      <c r="I639" s="2"/>
      <c r="J639" s="6"/>
      <c r="BL639" s="3"/>
      <c r="BM639" s="3"/>
      <c r="BN639" s="3"/>
      <c r="BO639" s="3"/>
    </row>
    <row r="640" ht="15.75" customHeight="1">
      <c r="E640" s="2"/>
      <c r="F640" s="2"/>
      <c r="G640" s="2"/>
      <c r="H640" s="2"/>
      <c r="I640" s="2"/>
      <c r="J640" s="6"/>
      <c r="BL640" s="3"/>
      <c r="BM640" s="3"/>
      <c r="BN640" s="3"/>
      <c r="BO640" s="3"/>
    </row>
    <row r="641" ht="15.75" customHeight="1">
      <c r="E641" s="2"/>
      <c r="F641" s="2"/>
      <c r="G641" s="2"/>
      <c r="H641" s="2"/>
      <c r="I641" s="2"/>
      <c r="J641" s="6"/>
      <c r="BL641" s="3"/>
      <c r="BM641" s="3"/>
      <c r="BN641" s="3"/>
      <c r="BO641" s="3"/>
    </row>
    <row r="642" ht="15.75" customHeight="1">
      <c r="E642" s="2"/>
      <c r="F642" s="2"/>
      <c r="G642" s="2"/>
      <c r="H642" s="2"/>
      <c r="I642" s="2"/>
      <c r="J642" s="6"/>
      <c r="BL642" s="3"/>
      <c r="BM642" s="3"/>
      <c r="BN642" s="3"/>
      <c r="BO642" s="3"/>
    </row>
    <row r="643" ht="15.75" customHeight="1">
      <c r="E643" s="2"/>
      <c r="F643" s="2"/>
      <c r="G643" s="2"/>
      <c r="H643" s="2"/>
      <c r="I643" s="2"/>
      <c r="J643" s="6"/>
      <c r="BL643" s="3"/>
      <c r="BM643" s="3"/>
      <c r="BN643" s="3"/>
      <c r="BO643" s="3"/>
    </row>
    <row r="644" ht="15.75" customHeight="1">
      <c r="E644" s="2"/>
      <c r="F644" s="2"/>
      <c r="G644" s="2"/>
      <c r="H644" s="2"/>
      <c r="I644" s="2"/>
      <c r="J644" s="6"/>
      <c r="BL644" s="3"/>
      <c r="BM644" s="3"/>
      <c r="BN644" s="3"/>
      <c r="BO644" s="3"/>
    </row>
    <row r="645" ht="15.75" customHeight="1">
      <c r="E645" s="2"/>
      <c r="F645" s="2"/>
      <c r="G645" s="2"/>
      <c r="H645" s="2"/>
      <c r="I645" s="2"/>
      <c r="J645" s="6"/>
      <c r="BL645" s="3"/>
      <c r="BM645" s="3"/>
      <c r="BN645" s="3"/>
      <c r="BO645" s="3"/>
    </row>
    <row r="646" ht="15.75" customHeight="1">
      <c r="E646" s="2"/>
      <c r="F646" s="2"/>
      <c r="G646" s="2"/>
      <c r="H646" s="2"/>
      <c r="I646" s="2"/>
      <c r="J646" s="6"/>
      <c r="BL646" s="3"/>
      <c r="BM646" s="3"/>
      <c r="BN646" s="3"/>
      <c r="BO646" s="3"/>
    </row>
    <row r="647" ht="15.75" customHeight="1">
      <c r="E647" s="2"/>
      <c r="F647" s="2"/>
      <c r="G647" s="2"/>
      <c r="H647" s="2"/>
      <c r="I647" s="2"/>
      <c r="J647" s="6"/>
      <c r="BL647" s="3"/>
      <c r="BM647" s="3"/>
      <c r="BN647" s="3"/>
      <c r="BO647" s="3"/>
    </row>
    <row r="648" ht="15.75" customHeight="1">
      <c r="E648" s="2"/>
      <c r="F648" s="2"/>
      <c r="G648" s="2"/>
      <c r="H648" s="2"/>
      <c r="I648" s="2"/>
      <c r="J648" s="6"/>
      <c r="BL648" s="3"/>
      <c r="BM648" s="3"/>
      <c r="BN648" s="3"/>
      <c r="BO648" s="3"/>
    </row>
    <row r="649" ht="15.75" customHeight="1">
      <c r="E649" s="2"/>
      <c r="F649" s="2"/>
      <c r="G649" s="2"/>
      <c r="H649" s="2"/>
      <c r="I649" s="2"/>
      <c r="J649" s="6"/>
      <c r="BL649" s="3"/>
      <c r="BM649" s="3"/>
      <c r="BN649" s="3"/>
      <c r="BO649" s="3"/>
    </row>
    <row r="650" ht="15.75" customHeight="1">
      <c r="E650" s="2"/>
      <c r="F650" s="2"/>
      <c r="G650" s="2"/>
      <c r="H650" s="2"/>
      <c r="I650" s="2"/>
      <c r="J650" s="6"/>
      <c r="BL650" s="3"/>
      <c r="BM650" s="3"/>
      <c r="BN650" s="3"/>
      <c r="BO650" s="3"/>
    </row>
    <row r="651" ht="15.75" customHeight="1">
      <c r="E651" s="2"/>
      <c r="F651" s="2"/>
      <c r="G651" s="2"/>
      <c r="H651" s="2"/>
      <c r="I651" s="2"/>
      <c r="J651" s="6"/>
      <c r="BL651" s="3"/>
      <c r="BM651" s="3"/>
      <c r="BN651" s="3"/>
      <c r="BO651" s="3"/>
    </row>
    <row r="652" ht="15.75" customHeight="1">
      <c r="E652" s="2"/>
      <c r="F652" s="2"/>
      <c r="G652" s="2"/>
      <c r="H652" s="2"/>
      <c r="I652" s="2"/>
      <c r="J652" s="6"/>
      <c r="BL652" s="3"/>
      <c r="BM652" s="3"/>
      <c r="BN652" s="3"/>
      <c r="BO652" s="3"/>
    </row>
    <row r="653" ht="15.75" customHeight="1">
      <c r="E653" s="2"/>
      <c r="F653" s="2"/>
      <c r="G653" s="2"/>
      <c r="H653" s="2"/>
      <c r="I653" s="2"/>
      <c r="J653" s="6"/>
      <c r="BL653" s="3"/>
      <c r="BM653" s="3"/>
      <c r="BN653" s="3"/>
      <c r="BO653" s="3"/>
    </row>
    <row r="654" ht="15.75" customHeight="1">
      <c r="E654" s="2"/>
      <c r="F654" s="2"/>
      <c r="G654" s="2"/>
      <c r="H654" s="2"/>
      <c r="I654" s="2"/>
      <c r="J654" s="6"/>
      <c r="BL654" s="3"/>
      <c r="BM654" s="3"/>
      <c r="BN654" s="3"/>
      <c r="BO654" s="3"/>
    </row>
    <row r="655" ht="15.75" customHeight="1">
      <c r="E655" s="2"/>
      <c r="F655" s="2"/>
      <c r="G655" s="2"/>
      <c r="H655" s="2"/>
      <c r="I655" s="2"/>
      <c r="J655" s="6"/>
      <c r="BL655" s="3"/>
      <c r="BM655" s="3"/>
      <c r="BN655" s="3"/>
      <c r="BO655" s="3"/>
    </row>
    <row r="656" ht="15.75" customHeight="1">
      <c r="E656" s="2"/>
      <c r="F656" s="2"/>
      <c r="G656" s="2"/>
      <c r="H656" s="2"/>
      <c r="I656" s="2"/>
      <c r="J656" s="6"/>
      <c r="BL656" s="3"/>
      <c r="BM656" s="3"/>
      <c r="BN656" s="3"/>
      <c r="BO656" s="3"/>
    </row>
    <row r="657" ht="15.75" customHeight="1">
      <c r="E657" s="2"/>
      <c r="F657" s="2"/>
      <c r="G657" s="2"/>
      <c r="H657" s="2"/>
      <c r="I657" s="2"/>
      <c r="J657" s="6"/>
      <c r="BL657" s="3"/>
      <c r="BM657" s="3"/>
      <c r="BN657" s="3"/>
      <c r="BO657" s="3"/>
    </row>
    <row r="658" ht="15.75" customHeight="1">
      <c r="E658" s="2"/>
      <c r="F658" s="2"/>
      <c r="G658" s="2"/>
      <c r="H658" s="2"/>
      <c r="I658" s="2"/>
      <c r="J658" s="6"/>
      <c r="BL658" s="3"/>
      <c r="BM658" s="3"/>
      <c r="BN658" s="3"/>
      <c r="BO658" s="3"/>
    </row>
    <row r="659" ht="15.75" customHeight="1">
      <c r="E659" s="2"/>
      <c r="F659" s="2"/>
      <c r="G659" s="2"/>
      <c r="H659" s="2"/>
      <c r="I659" s="2"/>
      <c r="J659" s="6"/>
      <c r="BL659" s="3"/>
      <c r="BM659" s="3"/>
      <c r="BN659" s="3"/>
      <c r="BO659" s="3"/>
    </row>
    <row r="660" ht="15.75" customHeight="1">
      <c r="E660" s="2"/>
      <c r="F660" s="2"/>
      <c r="G660" s="2"/>
      <c r="H660" s="2"/>
      <c r="I660" s="2"/>
      <c r="J660" s="6"/>
      <c r="BL660" s="3"/>
      <c r="BM660" s="3"/>
      <c r="BN660" s="3"/>
      <c r="BO660" s="3"/>
    </row>
    <row r="661" ht="15.75" customHeight="1">
      <c r="E661" s="2"/>
      <c r="F661" s="2"/>
      <c r="G661" s="2"/>
      <c r="H661" s="2"/>
      <c r="I661" s="2"/>
      <c r="J661" s="6"/>
      <c r="BL661" s="3"/>
      <c r="BM661" s="3"/>
      <c r="BN661" s="3"/>
      <c r="BO661" s="3"/>
    </row>
    <row r="662" ht="15.75" customHeight="1">
      <c r="E662" s="2"/>
      <c r="F662" s="2"/>
      <c r="G662" s="2"/>
      <c r="H662" s="2"/>
      <c r="I662" s="2"/>
      <c r="J662" s="6"/>
      <c r="BL662" s="3"/>
      <c r="BM662" s="3"/>
      <c r="BN662" s="3"/>
      <c r="BO662" s="3"/>
    </row>
    <row r="663" ht="15.75" customHeight="1">
      <c r="E663" s="2"/>
      <c r="F663" s="2"/>
      <c r="G663" s="2"/>
      <c r="H663" s="2"/>
      <c r="I663" s="2"/>
      <c r="J663" s="6"/>
      <c r="BL663" s="3"/>
      <c r="BM663" s="3"/>
      <c r="BN663" s="3"/>
      <c r="BO663" s="3"/>
    </row>
    <row r="664" ht="15.75" customHeight="1">
      <c r="E664" s="2"/>
      <c r="F664" s="2"/>
      <c r="G664" s="2"/>
      <c r="H664" s="2"/>
      <c r="I664" s="2"/>
      <c r="J664" s="6"/>
      <c r="BL664" s="3"/>
      <c r="BM664" s="3"/>
      <c r="BN664" s="3"/>
      <c r="BO664" s="3"/>
    </row>
    <row r="665" ht="15.75" customHeight="1">
      <c r="E665" s="2"/>
      <c r="F665" s="2"/>
      <c r="G665" s="2"/>
      <c r="H665" s="2"/>
      <c r="I665" s="2"/>
      <c r="J665" s="6"/>
      <c r="BL665" s="3"/>
      <c r="BM665" s="3"/>
      <c r="BN665" s="3"/>
      <c r="BO665" s="3"/>
    </row>
    <row r="666" ht="15.75" customHeight="1">
      <c r="E666" s="2"/>
      <c r="F666" s="2"/>
      <c r="G666" s="2"/>
      <c r="H666" s="2"/>
      <c r="I666" s="2"/>
      <c r="J666" s="6"/>
      <c r="BL666" s="3"/>
      <c r="BM666" s="3"/>
      <c r="BN666" s="3"/>
      <c r="BO666" s="3"/>
    </row>
    <row r="667" ht="15.75" customHeight="1">
      <c r="E667" s="2"/>
      <c r="F667" s="2"/>
      <c r="G667" s="2"/>
      <c r="H667" s="2"/>
      <c r="I667" s="2"/>
      <c r="J667" s="6"/>
      <c r="BL667" s="3"/>
      <c r="BM667" s="3"/>
      <c r="BN667" s="3"/>
      <c r="BO667" s="3"/>
    </row>
    <row r="668" ht="15.75" customHeight="1">
      <c r="E668" s="2"/>
      <c r="F668" s="2"/>
      <c r="G668" s="2"/>
      <c r="H668" s="2"/>
      <c r="I668" s="2"/>
      <c r="J668" s="6"/>
      <c r="BL668" s="3"/>
      <c r="BM668" s="3"/>
      <c r="BN668" s="3"/>
      <c r="BO668" s="3"/>
    </row>
    <row r="669" ht="15.75" customHeight="1">
      <c r="E669" s="2"/>
      <c r="F669" s="2"/>
      <c r="G669" s="2"/>
      <c r="H669" s="2"/>
      <c r="I669" s="2"/>
      <c r="J669" s="6"/>
      <c r="BL669" s="3"/>
      <c r="BM669" s="3"/>
      <c r="BN669" s="3"/>
      <c r="BO669" s="3"/>
    </row>
    <row r="670" ht="15.75" customHeight="1">
      <c r="E670" s="2"/>
      <c r="F670" s="2"/>
      <c r="G670" s="2"/>
      <c r="H670" s="2"/>
      <c r="I670" s="2"/>
      <c r="J670" s="6"/>
      <c r="BL670" s="3"/>
      <c r="BM670" s="3"/>
      <c r="BN670" s="3"/>
      <c r="BO670" s="3"/>
    </row>
    <row r="671" ht="15.75" customHeight="1">
      <c r="E671" s="2"/>
      <c r="F671" s="2"/>
      <c r="G671" s="2"/>
      <c r="H671" s="2"/>
      <c r="I671" s="2"/>
      <c r="J671" s="6"/>
      <c r="BL671" s="3"/>
      <c r="BM671" s="3"/>
      <c r="BN671" s="3"/>
      <c r="BO671" s="3"/>
    </row>
    <row r="672" ht="15.75" customHeight="1">
      <c r="E672" s="2"/>
      <c r="F672" s="2"/>
      <c r="G672" s="2"/>
      <c r="H672" s="2"/>
      <c r="I672" s="2"/>
      <c r="J672" s="6"/>
      <c r="BL672" s="3"/>
      <c r="BM672" s="3"/>
      <c r="BN672" s="3"/>
      <c r="BO672" s="3"/>
    </row>
    <row r="673" ht="15.75" customHeight="1">
      <c r="E673" s="2"/>
      <c r="F673" s="2"/>
      <c r="G673" s="2"/>
      <c r="H673" s="2"/>
      <c r="I673" s="2"/>
      <c r="J673" s="6"/>
      <c r="BL673" s="3"/>
      <c r="BM673" s="3"/>
      <c r="BN673" s="3"/>
      <c r="BO673" s="3"/>
    </row>
    <row r="674" ht="15.75" customHeight="1">
      <c r="E674" s="2"/>
      <c r="F674" s="2"/>
      <c r="G674" s="2"/>
      <c r="H674" s="2"/>
      <c r="I674" s="2"/>
      <c r="J674" s="6"/>
      <c r="BL674" s="3"/>
      <c r="BM674" s="3"/>
      <c r="BN674" s="3"/>
      <c r="BO674" s="3"/>
    </row>
    <row r="675" ht="15.75" customHeight="1">
      <c r="E675" s="2"/>
      <c r="F675" s="2"/>
      <c r="G675" s="2"/>
      <c r="H675" s="2"/>
      <c r="I675" s="2"/>
      <c r="J675" s="6"/>
      <c r="BL675" s="3"/>
      <c r="BM675" s="3"/>
      <c r="BN675" s="3"/>
      <c r="BO675" s="3"/>
    </row>
    <row r="676" ht="15.75" customHeight="1">
      <c r="E676" s="2"/>
      <c r="F676" s="2"/>
      <c r="G676" s="2"/>
      <c r="H676" s="2"/>
      <c r="I676" s="2"/>
      <c r="J676" s="6"/>
      <c r="BL676" s="3"/>
      <c r="BM676" s="3"/>
      <c r="BN676" s="3"/>
      <c r="BO676" s="3"/>
    </row>
    <row r="677" ht="15.75" customHeight="1">
      <c r="E677" s="2"/>
      <c r="F677" s="2"/>
      <c r="G677" s="2"/>
      <c r="H677" s="2"/>
      <c r="I677" s="2"/>
      <c r="J677" s="6"/>
      <c r="BL677" s="3"/>
      <c r="BM677" s="3"/>
      <c r="BN677" s="3"/>
      <c r="BO677" s="3"/>
    </row>
    <row r="678" ht="15.75" customHeight="1">
      <c r="E678" s="2"/>
      <c r="F678" s="2"/>
      <c r="G678" s="2"/>
      <c r="H678" s="2"/>
      <c r="I678" s="2"/>
      <c r="J678" s="6"/>
      <c r="BL678" s="3"/>
      <c r="BM678" s="3"/>
      <c r="BN678" s="3"/>
      <c r="BO678" s="3"/>
    </row>
    <row r="679" ht="15.75" customHeight="1">
      <c r="E679" s="2"/>
      <c r="F679" s="2"/>
      <c r="G679" s="2"/>
      <c r="H679" s="2"/>
      <c r="I679" s="2"/>
      <c r="J679" s="6"/>
      <c r="BL679" s="3"/>
      <c r="BM679" s="3"/>
      <c r="BN679" s="3"/>
      <c r="BO679" s="3"/>
    </row>
    <row r="680" ht="15.75" customHeight="1">
      <c r="E680" s="2"/>
      <c r="F680" s="2"/>
      <c r="G680" s="2"/>
      <c r="H680" s="2"/>
      <c r="I680" s="2"/>
      <c r="J680" s="6"/>
      <c r="BL680" s="3"/>
      <c r="BM680" s="3"/>
      <c r="BN680" s="3"/>
      <c r="BO680" s="3"/>
    </row>
    <row r="681" ht="15.75" customHeight="1">
      <c r="E681" s="2"/>
      <c r="F681" s="2"/>
      <c r="G681" s="2"/>
      <c r="H681" s="2"/>
      <c r="I681" s="2"/>
      <c r="J681" s="6"/>
      <c r="BL681" s="3"/>
      <c r="BM681" s="3"/>
      <c r="BN681" s="3"/>
      <c r="BO681" s="3"/>
    </row>
    <row r="682" ht="15.75" customHeight="1">
      <c r="E682" s="2"/>
      <c r="F682" s="2"/>
      <c r="G682" s="2"/>
      <c r="H682" s="2"/>
      <c r="I682" s="2"/>
      <c r="J682" s="6"/>
      <c r="BL682" s="3"/>
      <c r="BM682" s="3"/>
      <c r="BN682" s="3"/>
      <c r="BO682" s="3"/>
    </row>
    <row r="683" ht="15.75" customHeight="1">
      <c r="E683" s="2"/>
      <c r="F683" s="2"/>
      <c r="G683" s="2"/>
      <c r="H683" s="2"/>
      <c r="I683" s="2"/>
      <c r="J683" s="6"/>
      <c r="BL683" s="3"/>
      <c r="BM683" s="3"/>
      <c r="BN683" s="3"/>
      <c r="BO683" s="3"/>
    </row>
    <row r="684" ht="15.75" customHeight="1">
      <c r="E684" s="2"/>
      <c r="F684" s="2"/>
      <c r="G684" s="2"/>
      <c r="H684" s="2"/>
      <c r="I684" s="2"/>
      <c r="J684" s="6"/>
      <c r="BL684" s="3"/>
      <c r="BM684" s="3"/>
      <c r="BN684" s="3"/>
      <c r="BO684" s="3"/>
    </row>
    <row r="685" ht="15.75" customHeight="1">
      <c r="E685" s="2"/>
      <c r="F685" s="2"/>
      <c r="G685" s="2"/>
      <c r="H685" s="2"/>
      <c r="I685" s="2"/>
      <c r="J685" s="6"/>
      <c r="BL685" s="3"/>
      <c r="BM685" s="3"/>
      <c r="BN685" s="3"/>
      <c r="BO685" s="3"/>
    </row>
    <row r="686" ht="15.75" customHeight="1">
      <c r="E686" s="2"/>
      <c r="F686" s="2"/>
      <c r="G686" s="2"/>
      <c r="H686" s="2"/>
      <c r="I686" s="2"/>
      <c r="J686" s="6"/>
      <c r="BL686" s="3"/>
      <c r="BM686" s="3"/>
      <c r="BN686" s="3"/>
      <c r="BO686" s="3"/>
    </row>
    <row r="687" ht="15.75" customHeight="1">
      <c r="E687" s="2"/>
      <c r="F687" s="2"/>
      <c r="G687" s="2"/>
      <c r="H687" s="2"/>
      <c r="I687" s="2"/>
      <c r="J687" s="6"/>
      <c r="BL687" s="3"/>
      <c r="BM687" s="3"/>
      <c r="BN687" s="3"/>
      <c r="BO687" s="3"/>
    </row>
    <row r="688" ht="15.75" customHeight="1">
      <c r="E688" s="2"/>
      <c r="F688" s="2"/>
      <c r="G688" s="2"/>
      <c r="H688" s="2"/>
      <c r="I688" s="2"/>
      <c r="J688" s="6"/>
      <c r="BL688" s="3"/>
      <c r="BM688" s="3"/>
      <c r="BN688" s="3"/>
      <c r="BO688" s="3"/>
    </row>
    <row r="689" ht="15.75" customHeight="1">
      <c r="E689" s="2"/>
      <c r="F689" s="2"/>
      <c r="G689" s="2"/>
      <c r="H689" s="2"/>
      <c r="I689" s="2"/>
      <c r="J689" s="6"/>
      <c r="BL689" s="3"/>
      <c r="BM689" s="3"/>
      <c r="BN689" s="3"/>
      <c r="BO689" s="3"/>
    </row>
    <row r="690" ht="15.75" customHeight="1">
      <c r="E690" s="2"/>
      <c r="F690" s="2"/>
      <c r="G690" s="2"/>
      <c r="H690" s="2"/>
      <c r="I690" s="2"/>
      <c r="J690" s="6"/>
      <c r="BL690" s="3"/>
      <c r="BM690" s="3"/>
      <c r="BN690" s="3"/>
      <c r="BO690" s="3"/>
    </row>
    <row r="691" ht="15.75" customHeight="1">
      <c r="E691" s="2"/>
      <c r="F691" s="2"/>
      <c r="G691" s="2"/>
      <c r="H691" s="2"/>
      <c r="I691" s="2"/>
      <c r="J691" s="6"/>
      <c r="BL691" s="3"/>
      <c r="BM691" s="3"/>
      <c r="BN691" s="3"/>
      <c r="BO691" s="3"/>
    </row>
    <row r="692" ht="15.75" customHeight="1">
      <c r="E692" s="2"/>
      <c r="F692" s="2"/>
      <c r="G692" s="2"/>
      <c r="H692" s="2"/>
      <c r="I692" s="2"/>
      <c r="J692" s="6"/>
      <c r="BL692" s="3"/>
      <c r="BM692" s="3"/>
      <c r="BN692" s="3"/>
      <c r="BO692" s="3"/>
    </row>
    <row r="693" ht="15.75" customHeight="1">
      <c r="E693" s="2"/>
      <c r="F693" s="2"/>
      <c r="G693" s="2"/>
      <c r="H693" s="2"/>
      <c r="I693" s="2"/>
      <c r="J693" s="6"/>
      <c r="BL693" s="3"/>
      <c r="BM693" s="3"/>
      <c r="BN693" s="3"/>
      <c r="BO693" s="3"/>
    </row>
    <row r="694" ht="15.75" customHeight="1">
      <c r="E694" s="2"/>
      <c r="F694" s="2"/>
      <c r="G694" s="2"/>
      <c r="H694" s="2"/>
      <c r="I694" s="2"/>
      <c r="J694" s="6"/>
      <c r="BL694" s="3"/>
      <c r="BM694" s="3"/>
      <c r="BN694" s="3"/>
      <c r="BO694" s="3"/>
    </row>
    <row r="695" ht="15.75" customHeight="1">
      <c r="E695" s="2"/>
      <c r="F695" s="2"/>
      <c r="G695" s="2"/>
      <c r="H695" s="2"/>
      <c r="I695" s="2"/>
      <c r="J695" s="6"/>
      <c r="BL695" s="3"/>
      <c r="BM695" s="3"/>
      <c r="BN695" s="3"/>
      <c r="BO695" s="3"/>
    </row>
    <row r="696" ht="15.75" customHeight="1">
      <c r="E696" s="2"/>
      <c r="F696" s="2"/>
      <c r="G696" s="2"/>
      <c r="H696" s="2"/>
      <c r="I696" s="2"/>
      <c r="J696" s="6"/>
      <c r="BL696" s="3"/>
      <c r="BM696" s="3"/>
      <c r="BN696" s="3"/>
      <c r="BO696" s="3"/>
    </row>
    <row r="697" ht="15.75" customHeight="1">
      <c r="E697" s="2"/>
      <c r="F697" s="2"/>
      <c r="G697" s="2"/>
      <c r="H697" s="2"/>
      <c r="I697" s="2"/>
      <c r="J697" s="6"/>
      <c r="BL697" s="3"/>
      <c r="BM697" s="3"/>
      <c r="BN697" s="3"/>
      <c r="BO697" s="3"/>
    </row>
    <row r="698" ht="15.75" customHeight="1">
      <c r="E698" s="2"/>
      <c r="F698" s="2"/>
      <c r="G698" s="2"/>
      <c r="H698" s="2"/>
      <c r="I698" s="2"/>
      <c r="J698" s="6"/>
      <c r="BL698" s="3"/>
      <c r="BM698" s="3"/>
      <c r="BN698" s="3"/>
      <c r="BO698" s="3"/>
    </row>
    <row r="699" ht="15.75" customHeight="1">
      <c r="E699" s="2"/>
      <c r="F699" s="2"/>
      <c r="G699" s="2"/>
      <c r="H699" s="2"/>
      <c r="I699" s="2"/>
      <c r="J699" s="6"/>
      <c r="BL699" s="3"/>
      <c r="BM699" s="3"/>
      <c r="BN699" s="3"/>
      <c r="BO699" s="3"/>
    </row>
    <row r="700" ht="15.75" customHeight="1">
      <c r="E700" s="2"/>
      <c r="F700" s="2"/>
      <c r="G700" s="2"/>
      <c r="H700" s="2"/>
      <c r="I700" s="2"/>
      <c r="J700" s="6"/>
      <c r="BL700" s="3"/>
      <c r="BM700" s="3"/>
      <c r="BN700" s="3"/>
      <c r="BO700" s="3"/>
    </row>
    <row r="701" ht="15.75" customHeight="1">
      <c r="E701" s="2"/>
      <c r="F701" s="2"/>
      <c r="G701" s="2"/>
      <c r="H701" s="2"/>
      <c r="I701" s="2"/>
      <c r="J701" s="6"/>
      <c r="BL701" s="3"/>
      <c r="BM701" s="3"/>
      <c r="BN701" s="3"/>
      <c r="BO701" s="3"/>
    </row>
    <row r="702" ht="15.75" customHeight="1">
      <c r="E702" s="2"/>
      <c r="F702" s="2"/>
      <c r="G702" s="2"/>
      <c r="H702" s="2"/>
      <c r="I702" s="2"/>
      <c r="J702" s="6"/>
      <c r="BL702" s="3"/>
      <c r="BM702" s="3"/>
      <c r="BN702" s="3"/>
      <c r="BO702" s="3"/>
    </row>
    <row r="703" ht="15.75" customHeight="1">
      <c r="E703" s="2"/>
      <c r="F703" s="2"/>
      <c r="G703" s="2"/>
      <c r="H703" s="2"/>
      <c r="I703" s="2"/>
      <c r="J703" s="6"/>
      <c r="BL703" s="3"/>
      <c r="BM703" s="3"/>
      <c r="BN703" s="3"/>
      <c r="BO703" s="3"/>
    </row>
    <row r="704" ht="15.75" customHeight="1">
      <c r="E704" s="2"/>
      <c r="F704" s="2"/>
      <c r="G704" s="2"/>
      <c r="H704" s="2"/>
      <c r="I704" s="2"/>
      <c r="J704" s="6"/>
      <c r="BL704" s="3"/>
      <c r="BM704" s="3"/>
      <c r="BN704" s="3"/>
      <c r="BO704" s="3"/>
    </row>
    <row r="705" ht="15.75" customHeight="1">
      <c r="E705" s="2"/>
      <c r="F705" s="2"/>
      <c r="G705" s="2"/>
      <c r="H705" s="2"/>
      <c r="I705" s="2"/>
      <c r="J705" s="6"/>
      <c r="BL705" s="3"/>
      <c r="BM705" s="3"/>
      <c r="BN705" s="3"/>
      <c r="BO705" s="3"/>
    </row>
    <row r="706" ht="15.75" customHeight="1">
      <c r="E706" s="2"/>
      <c r="F706" s="2"/>
      <c r="G706" s="2"/>
      <c r="H706" s="2"/>
      <c r="I706" s="2"/>
      <c r="J706" s="6"/>
      <c r="BL706" s="3"/>
      <c r="BM706" s="3"/>
      <c r="BN706" s="3"/>
      <c r="BO706" s="3"/>
    </row>
    <row r="707" ht="15.75" customHeight="1">
      <c r="E707" s="2"/>
      <c r="F707" s="2"/>
      <c r="G707" s="2"/>
      <c r="H707" s="2"/>
      <c r="I707" s="2"/>
      <c r="J707" s="6"/>
      <c r="BL707" s="3"/>
      <c r="BM707" s="3"/>
      <c r="BN707" s="3"/>
      <c r="BO707" s="3"/>
    </row>
    <row r="708" ht="15.75" customHeight="1">
      <c r="E708" s="2"/>
      <c r="F708" s="2"/>
      <c r="G708" s="2"/>
      <c r="H708" s="2"/>
      <c r="I708" s="2"/>
      <c r="J708" s="6"/>
      <c r="BL708" s="3"/>
      <c r="BM708" s="3"/>
      <c r="BN708" s="3"/>
      <c r="BO708" s="3"/>
    </row>
    <row r="709" ht="15.75" customHeight="1">
      <c r="E709" s="2"/>
      <c r="F709" s="2"/>
      <c r="G709" s="2"/>
      <c r="H709" s="2"/>
      <c r="I709" s="2"/>
      <c r="J709" s="6"/>
      <c r="BL709" s="3"/>
      <c r="BM709" s="3"/>
      <c r="BN709" s="3"/>
      <c r="BO709" s="3"/>
    </row>
    <row r="710" ht="15.75" customHeight="1">
      <c r="E710" s="2"/>
      <c r="F710" s="2"/>
      <c r="G710" s="2"/>
      <c r="H710" s="2"/>
      <c r="I710" s="2"/>
      <c r="J710" s="6"/>
      <c r="BL710" s="3"/>
      <c r="BM710" s="3"/>
      <c r="BN710" s="3"/>
      <c r="BO710" s="3"/>
    </row>
    <row r="711" ht="15.75" customHeight="1">
      <c r="E711" s="2"/>
      <c r="F711" s="2"/>
      <c r="G711" s="2"/>
      <c r="H711" s="2"/>
      <c r="I711" s="2"/>
      <c r="J711" s="6"/>
      <c r="BL711" s="3"/>
      <c r="BM711" s="3"/>
      <c r="BN711" s="3"/>
      <c r="BO711" s="3"/>
    </row>
    <row r="712" ht="15.75" customHeight="1">
      <c r="E712" s="2"/>
      <c r="F712" s="2"/>
      <c r="G712" s="2"/>
      <c r="H712" s="2"/>
      <c r="I712" s="2"/>
      <c r="J712" s="6"/>
      <c r="BL712" s="3"/>
      <c r="BM712" s="3"/>
      <c r="BN712" s="3"/>
      <c r="BO712" s="3"/>
    </row>
    <row r="713" ht="15.75" customHeight="1">
      <c r="E713" s="2"/>
      <c r="F713" s="2"/>
      <c r="G713" s="2"/>
      <c r="H713" s="2"/>
      <c r="I713" s="2"/>
      <c r="J713" s="6"/>
      <c r="BL713" s="3"/>
      <c r="BM713" s="3"/>
      <c r="BN713" s="3"/>
      <c r="BO713" s="3"/>
    </row>
    <row r="714" ht="15.75" customHeight="1">
      <c r="E714" s="2"/>
      <c r="F714" s="2"/>
      <c r="G714" s="2"/>
      <c r="H714" s="2"/>
      <c r="I714" s="2"/>
      <c r="J714" s="6"/>
      <c r="BL714" s="3"/>
      <c r="BM714" s="3"/>
      <c r="BN714" s="3"/>
      <c r="BO714" s="3"/>
    </row>
    <row r="715" ht="15.75" customHeight="1">
      <c r="E715" s="2"/>
      <c r="F715" s="2"/>
      <c r="G715" s="2"/>
      <c r="H715" s="2"/>
      <c r="I715" s="2"/>
      <c r="J715" s="6"/>
      <c r="BL715" s="3"/>
      <c r="BM715" s="3"/>
      <c r="BN715" s="3"/>
      <c r="BO715" s="3"/>
    </row>
    <row r="716" ht="15.75" customHeight="1">
      <c r="E716" s="2"/>
      <c r="F716" s="2"/>
      <c r="G716" s="2"/>
      <c r="H716" s="2"/>
      <c r="I716" s="2"/>
      <c r="J716" s="6"/>
      <c r="BL716" s="3"/>
      <c r="BM716" s="3"/>
      <c r="BN716" s="3"/>
      <c r="BO716" s="3"/>
    </row>
    <row r="717" ht="15.75" customHeight="1">
      <c r="E717" s="2"/>
      <c r="F717" s="2"/>
      <c r="G717" s="2"/>
      <c r="H717" s="2"/>
      <c r="I717" s="2"/>
      <c r="J717" s="6"/>
      <c r="BL717" s="3"/>
      <c r="BM717" s="3"/>
      <c r="BN717" s="3"/>
      <c r="BO717" s="3"/>
    </row>
    <row r="718" ht="15.75" customHeight="1">
      <c r="E718" s="2"/>
      <c r="F718" s="2"/>
      <c r="G718" s="2"/>
      <c r="H718" s="2"/>
      <c r="I718" s="2"/>
      <c r="J718" s="6"/>
      <c r="BL718" s="3"/>
      <c r="BM718" s="3"/>
      <c r="BN718" s="3"/>
      <c r="BO718" s="3"/>
    </row>
    <row r="719" ht="15.75" customHeight="1">
      <c r="E719" s="2"/>
      <c r="F719" s="2"/>
      <c r="G719" s="2"/>
      <c r="H719" s="2"/>
      <c r="I719" s="2"/>
      <c r="J719" s="6"/>
      <c r="BL719" s="3"/>
      <c r="BM719" s="3"/>
      <c r="BN719" s="3"/>
      <c r="BO719" s="3"/>
    </row>
    <row r="720" ht="15.75" customHeight="1">
      <c r="E720" s="2"/>
      <c r="F720" s="2"/>
      <c r="G720" s="2"/>
      <c r="H720" s="2"/>
      <c r="I720" s="2"/>
      <c r="J720" s="6"/>
      <c r="BL720" s="3"/>
      <c r="BM720" s="3"/>
      <c r="BN720" s="3"/>
      <c r="BO720" s="3"/>
    </row>
    <row r="721" ht="15.75" customHeight="1">
      <c r="E721" s="2"/>
      <c r="F721" s="2"/>
      <c r="G721" s="2"/>
      <c r="H721" s="2"/>
      <c r="I721" s="2"/>
      <c r="J721" s="6"/>
      <c r="BL721" s="3"/>
      <c r="BM721" s="3"/>
      <c r="BN721" s="3"/>
      <c r="BO721" s="3"/>
    </row>
    <row r="722" ht="15.75" customHeight="1">
      <c r="E722" s="2"/>
      <c r="F722" s="2"/>
      <c r="G722" s="2"/>
      <c r="H722" s="2"/>
      <c r="I722" s="2"/>
      <c r="J722" s="6"/>
      <c r="BL722" s="3"/>
      <c r="BM722" s="3"/>
      <c r="BN722" s="3"/>
      <c r="BO722" s="3"/>
    </row>
    <row r="723" ht="15.75" customHeight="1">
      <c r="E723" s="2"/>
      <c r="F723" s="2"/>
      <c r="G723" s="2"/>
      <c r="H723" s="2"/>
      <c r="I723" s="2"/>
      <c r="J723" s="6"/>
      <c r="BL723" s="3"/>
      <c r="BM723" s="3"/>
      <c r="BN723" s="3"/>
      <c r="BO723" s="3"/>
    </row>
    <row r="724" ht="15.75" customHeight="1">
      <c r="E724" s="2"/>
      <c r="F724" s="2"/>
      <c r="G724" s="2"/>
      <c r="H724" s="2"/>
      <c r="I724" s="2"/>
      <c r="J724" s="6"/>
      <c r="BL724" s="3"/>
      <c r="BM724" s="3"/>
      <c r="BN724" s="3"/>
      <c r="BO724" s="3"/>
    </row>
    <row r="725" ht="15.75" customHeight="1">
      <c r="E725" s="2"/>
      <c r="F725" s="2"/>
      <c r="G725" s="2"/>
      <c r="H725" s="2"/>
      <c r="I725" s="2"/>
      <c r="J725" s="6"/>
      <c r="BL725" s="3"/>
      <c r="BM725" s="3"/>
      <c r="BN725" s="3"/>
      <c r="BO725" s="3"/>
    </row>
    <row r="726" ht="15.75" customHeight="1">
      <c r="E726" s="2"/>
      <c r="F726" s="2"/>
      <c r="G726" s="2"/>
      <c r="H726" s="2"/>
      <c r="I726" s="2"/>
      <c r="J726" s="6"/>
      <c r="BL726" s="3"/>
      <c r="BM726" s="3"/>
      <c r="BN726" s="3"/>
      <c r="BO726" s="3"/>
    </row>
    <row r="727" ht="15.75" customHeight="1">
      <c r="E727" s="2"/>
      <c r="F727" s="2"/>
      <c r="G727" s="2"/>
      <c r="H727" s="2"/>
      <c r="I727" s="2"/>
      <c r="J727" s="6"/>
      <c r="BL727" s="3"/>
      <c r="BM727" s="3"/>
      <c r="BN727" s="3"/>
      <c r="BO727" s="3"/>
    </row>
    <row r="728" ht="15.75" customHeight="1">
      <c r="E728" s="2"/>
      <c r="F728" s="2"/>
      <c r="G728" s="2"/>
      <c r="H728" s="2"/>
      <c r="I728" s="2"/>
      <c r="J728" s="6"/>
      <c r="BL728" s="3"/>
      <c r="BM728" s="3"/>
      <c r="BN728" s="3"/>
      <c r="BO728" s="3"/>
    </row>
    <row r="729" ht="15.75" customHeight="1">
      <c r="E729" s="2"/>
      <c r="F729" s="2"/>
      <c r="G729" s="2"/>
      <c r="H729" s="2"/>
      <c r="I729" s="2"/>
      <c r="J729" s="6"/>
      <c r="BL729" s="3"/>
      <c r="BM729" s="3"/>
      <c r="BN729" s="3"/>
      <c r="BO729" s="3"/>
    </row>
    <row r="730" ht="15.75" customHeight="1">
      <c r="E730" s="2"/>
      <c r="F730" s="2"/>
      <c r="G730" s="2"/>
      <c r="H730" s="2"/>
      <c r="I730" s="2"/>
      <c r="J730" s="6"/>
      <c r="BL730" s="3"/>
      <c r="BM730" s="3"/>
      <c r="BN730" s="3"/>
      <c r="BO730" s="3"/>
    </row>
    <row r="731" ht="15.75" customHeight="1">
      <c r="E731" s="2"/>
      <c r="F731" s="2"/>
      <c r="G731" s="2"/>
      <c r="H731" s="2"/>
      <c r="I731" s="2"/>
      <c r="J731" s="6"/>
      <c r="BL731" s="3"/>
      <c r="BM731" s="3"/>
      <c r="BN731" s="3"/>
      <c r="BO731" s="3"/>
    </row>
    <row r="732" ht="15.75" customHeight="1">
      <c r="E732" s="2"/>
      <c r="F732" s="2"/>
      <c r="G732" s="2"/>
      <c r="H732" s="2"/>
      <c r="I732" s="2"/>
      <c r="J732" s="6"/>
      <c r="BL732" s="3"/>
      <c r="BM732" s="3"/>
      <c r="BN732" s="3"/>
      <c r="BO732" s="3"/>
    </row>
    <row r="733" ht="15.75" customHeight="1">
      <c r="E733" s="2"/>
      <c r="F733" s="2"/>
      <c r="G733" s="2"/>
      <c r="H733" s="2"/>
      <c r="I733" s="2"/>
      <c r="J733" s="6"/>
      <c r="BL733" s="3"/>
      <c r="BM733" s="3"/>
      <c r="BN733" s="3"/>
      <c r="BO733" s="3"/>
    </row>
    <row r="734" ht="15.75" customHeight="1">
      <c r="E734" s="2"/>
      <c r="F734" s="2"/>
      <c r="G734" s="2"/>
      <c r="H734" s="2"/>
      <c r="I734" s="2"/>
      <c r="J734" s="6"/>
      <c r="BL734" s="3"/>
      <c r="BM734" s="3"/>
      <c r="BN734" s="3"/>
      <c r="BO734" s="3"/>
    </row>
    <row r="735" ht="15.75" customHeight="1">
      <c r="E735" s="2"/>
      <c r="F735" s="2"/>
      <c r="G735" s="2"/>
      <c r="H735" s="2"/>
      <c r="I735" s="2"/>
      <c r="J735" s="6"/>
      <c r="BL735" s="3"/>
      <c r="BM735" s="3"/>
      <c r="BN735" s="3"/>
      <c r="BO735" s="3"/>
    </row>
    <row r="736" ht="15.75" customHeight="1">
      <c r="E736" s="2"/>
      <c r="F736" s="2"/>
      <c r="G736" s="2"/>
      <c r="H736" s="2"/>
      <c r="I736" s="2"/>
      <c r="J736" s="6"/>
      <c r="BL736" s="3"/>
      <c r="BM736" s="3"/>
      <c r="BN736" s="3"/>
      <c r="BO736" s="3"/>
    </row>
    <row r="737" ht="15.75" customHeight="1">
      <c r="E737" s="2"/>
      <c r="F737" s="2"/>
      <c r="G737" s="2"/>
      <c r="H737" s="2"/>
      <c r="I737" s="2"/>
      <c r="J737" s="6"/>
      <c r="BL737" s="3"/>
      <c r="BM737" s="3"/>
      <c r="BN737" s="3"/>
      <c r="BO737" s="3"/>
    </row>
    <row r="738" ht="15.75" customHeight="1">
      <c r="E738" s="2"/>
      <c r="F738" s="2"/>
      <c r="G738" s="2"/>
      <c r="H738" s="2"/>
      <c r="I738" s="2"/>
      <c r="J738" s="6"/>
      <c r="BL738" s="3"/>
      <c r="BM738" s="3"/>
      <c r="BN738" s="3"/>
      <c r="BO738" s="3"/>
    </row>
    <row r="739" ht="15.75" customHeight="1">
      <c r="E739" s="2"/>
      <c r="F739" s="2"/>
      <c r="G739" s="2"/>
      <c r="H739" s="2"/>
      <c r="I739" s="2"/>
      <c r="J739" s="6"/>
      <c r="BL739" s="3"/>
      <c r="BM739" s="3"/>
      <c r="BN739" s="3"/>
      <c r="BO739" s="3"/>
    </row>
    <row r="740" ht="15.75" customHeight="1">
      <c r="E740" s="2"/>
      <c r="F740" s="2"/>
      <c r="G740" s="2"/>
      <c r="H740" s="2"/>
      <c r="I740" s="2"/>
      <c r="J740" s="6"/>
      <c r="BL740" s="3"/>
      <c r="BM740" s="3"/>
      <c r="BN740" s="3"/>
      <c r="BO740" s="3"/>
    </row>
    <row r="741" ht="15.75" customHeight="1">
      <c r="E741" s="2"/>
      <c r="F741" s="2"/>
      <c r="G741" s="2"/>
      <c r="H741" s="2"/>
      <c r="I741" s="2"/>
      <c r="J741" s="6"/>
      <c r="BL741" s="3"/>
      <c r="BM741" s="3"/>
      <c r="BN741" s="3"/>
      <c r="BO741" s="3"/>
    </row>
    <row r="742" ht="15.75" customHeight="1">
      <c r="E742" s="2"/>
      <c r="F742" s="2"/>
      <c r="G742" s="2"/>
      <c r="H742" s="2"/>
      <c r="I742" s="2"/>
      <c r="J742" s="6"/>
      <c r="BL742" s="3"/>
      <c r="BM742" s="3"/>
      <c r="BN742" s="3"/>
      <c r="BO742" s="3"/>
    </row>
    <row r="743" ht="15.75" customHeight="1">
      <c r="E743" s="2"/>
      <c r="F743" s="2"/>
      <c r="G743" s="2"/>
      <c r="H743" s="2"/>
      <c r="I743" s="2"/>
      <c r="J743" s="6"/>
      <c r="BL743" s="3"/>
      <c r="BM743" s="3"/>
      <c r="BN743" s="3"/>
      <c r="BO743" s="3"/>
    </row>
    <row r="744" ht="15.75" customHeight="1">
      <c r="E744" s="2"/>
      <c r="F744" s="2"/>
      <c r="G744" s="2"/>
      <c r="H744" s="2"/>
      <c r="I744" s="2"/>
      <c r="J744" s="6"/>
      <c r="BL744" s="3"/>
      <c r="BM744" s="3"/>
      <c r="BN744" s="3"/>
      <c r="BO744" s="3"/>
    </row>
    <row r="745" ht="15.75" customHeight="1">
      <c r="E745" s="2"/>
      <c r="F745" s="2"/>
      <c r="G745" s="2"/>
      <c r="H745" s="2"/>
      <c r="I745" s="2"/>
      <c r="J745" s="6"/>
      <c r="BL745" s="3"/>
      <c r="BM745" s="3"/>
      <c r="BN745" s="3"/>
      <c r="BO745" s="3"/>
    </row>
    <row r="746" ht="15.75" customHeight="1">
      <c r="E746" s="2"/>
      <c r="F746" s="2"/>
      <c r="G746" s="2"/>
      <c r="H746" s="2"/>
      <c r="I746" s="2"/>
      <c r="J746" s="6"/>
      <c r="BL746" s="3"/>
      <c r="BM746" s="3"/>
      <c r="BN746" s="3"/>
      <c r="BO746" s="3"/>
    </row>
    <row r="747" ht="15.75" customHeight="1">
      <c r="E747" s="2"/>
      <c r="F747" s="2"/>
      <c r="G747" s="2"/>
      <c r="H747" s="2"/>
      <c r="I747" s="2"/>
      <c r="J747" s="6"/>
      <c r="BL747" s="3"/>
      <c r="BM747" s="3"/>
      <c r="BN747" s="3"/>
      <c r="BO747" s="3"/>
    </row>
    <row r="748" ht="15.75" customHeight="1">
      <c r="E748" s="2"/>
      <c r="F748" s="2"/>
      <c r="G748" s="2"/>
      <c r="H748" s="2"/>
      <c r="I748" s="2"/>
      <c r="J748" s="6"/>
      <c r="BL748" s="3"/>
      <c r="BM748" s="3"/>
      <c r="BN748" s="3"/>
      <c r="BO748" s="3"/>
    </row>
    <row r="749" ht="15.75" customHeight="1">
      <c r="E749" s="2"/>
      <c r="F749" s="2"/>
      <c r="G749" s="2"/>
      <c r="H749" s="2"/>
      <c r="I749" s="2"/>
      <c r="J749" s="6"/>
      <c r="BL749" s="3"/>
      <c r="BM749" s="3"/>
      <c r="BN749" s="3"/>
      <c r="BO749" s="3"/>
    </row>
    <row r="750" ht="15.75" customHeight="1">
      <c r="E750" s="2"/>
      <c r="F750" s="2"/>
      <c r="G750" s="2"/>
      <c r="H750" s="2"/>
      <c r="I750" s="2"/>
      <c r="J750" s="6"/>
      <c r="BL750" s="3"/>
      <c r="BM750" s="3"/>
      <c r="BN750" s="3"/>
      <c r="BO750" s="3"/>
    </row>
    <row r="751" ht="15.75" customHeight="1">
      <c r="E751" s="2"/>
      <c r="F751" s="2"/>
      <c r="G751" s="2"/>
      <c r="H751" s="2"/>
      <c r="I751" s="2"/>
      <c r="J751" s="6"/>
      <c r="BL751" s="3"/>
      <c r="BM751" s="3"/>
      <c r="BN751" s="3"/>
      <c r="BO751" s="3"/>
    </row>
    <row r="752" ht="15.75" customHeight="1">
      <c r="E752" s="2"/>
      <c r="F752" s="2"/>
      <c r="G752" s="2"/>
      <c r="H752" s="2"/>
      <c r="I752" s="2"/>
      <c r="J752" s="6"/>
      <c r="BL752" s="3"/>
      <c r="BM752" s="3"/>
      <c r="BN752" s="3"/>
      <c r="BO752" s="3"/>
    </row>
    <row r="753" ht="15.75" customHeight="1">
      <c r="E753" s="2"/>
      <c r="F753" s="2"/>
      <c r="G753" s="2"/>
      <c r="H753" s="2"/>
      <c r="I753" s="2"/>
      <c r="J753" s="6"/>
      <c r="BL753" s="3"/>
      <c r="BM753" s="3"/>
      <c r="BN753" s="3"/>
      <c r="BO753" s="3"/>
    </row>
    <row r="754" ht="15.75" customHeight="1">
      <c r="E754" s="2"/>
      <c r="F754" s="2"/>
      <c r="G754" s="2"/>
      <c r="H754" s="2"/>
      <c r="I754" s="2"/>
      <c r="J754" s="6"/>
      <c r="BL754" s="3"/>
      <c r="BM754" s="3"/>
      <c r="BN754" s="3"/>
      <c r="BO754" s="3"/>
    </row>
    <row r="755" ht="15.75" customHeight="1">
      <c r="E755" s="2"/>
      <c r="F755" s="2"/>
      <c r="G755" s="2"/>
      <c r="H755" s="2"/>
      <c r="I755" s="2"/>
      <c r="J755" s="6"/>
      <c r="BL755" s="3"/>
      <c r="BM755" s="3"/>
      <c r="BN755" s="3"/>
      <c r="BO755" s="3"/>
    </row>
    <row r="756" ht="15.75" customHeight="1">
      <c r="E756" s="2"/>
      <c r="F756" s="2"/>
      <c r="G756" s="2"/>
      <c r="H756" s="2"/>
      <c r="I756" s="2"/>
      <c r="J756" s="6"/>
      <c r="BL756" s="3"/>
      <c r="BM756" s="3"/>
      <c r="BN756" s="3"/>
      <c r="BO756" s="3"/>
    </row>
    <row r="757" ht="15.75" customHeight="1">
      <c r="E757" s="2"/>
      <c r="F757" s="2"/>
      <c r="G757" s="2"/>
      <c r="H757" s="2"/>
      <c r="I757" s="2"/>
      <c r="J757" s="6"/>
      <c r="BL757" s="3"/>
      <c r="BM757" s="3"/>
      <c r="BN757" s="3"/>
      <c r="BO757" s="3"/>
    </row>
    <row r="758" ht="15.75" customHeight="1">
      <c r="E758" s="2"/>
      <c r="F758" s="2"/>
      <c r="G758" s="2"/>
      <c r="H758" s="2"/>
      <c r="I758" s="2"/>
      <c r="J758" s="6"/>
      <c r="BL758" s="3"/>
      <c r="BM758" s="3"/>
      <c r="BN758" s="3"/>
      <c r="BO758" s="3"/>
    </row>
    <row r="759" ht="15.75" customHeight="1">
      <c r="E759" s="2"/>
      <c r="F759" s="2"/>
      <c r="G759" s="2"/>
      <c r="H759" s="2"/>
      <c r="I759" s="2"/>
      <c r="J759" s="6"/>
      <c r="BL759" s="3"/>
      <c r="BM759" s="3"/>
      <c r="BN759" s="3"/>
      <c r="BO759" s="3"/>
    </row>
    <row r="760" ht="15.75" customHeight="1">
      <c r="E760" s="2"/>
      <c r="F760" s="2"/>
      <c r="G760" s="2"/>
      <c r="H760" s="2"/>
      <c r="I760" s="2"/>
      <c r="J760" s="6"/>
      <c r="BL760" s="3"/>
      <c r="BM760" s="3"/>
      <c r="BN760" s="3"/>
      <c r="BO760" s="3"/>
    </row>
    <row r="761" ht="15.75" customHeight="1">
      <c r="E761" s="2"/>
      <c r="F761" s="2"/>
      <c r="G761" s="2"/>
      <c r="H761" s="2"/>
      <c r="I761" s="2"/>
      <c r="J761" s="6"/>
      <c r="BL761" s="3"/>
      <c r="BM761" s="3"/>
      <c r="BN761" s="3"/>
      <c r="BO761" s="3"/>
    </row>
    <row r="762" ht="15.75" customHeight="1">
      <c r="E762" s="2"/>
      <c r="F762" s="2"/>
      <c r="G762" s="2"/>
      <c r="H762" s="2"/>
      <c r="I762" s="2"/>
      <c r="J762" s="6"/>
      <c r="BL762" s="3"/>
      <c r="BM762" s="3"/>
      <c r="BN762" s="3"/>
      <c r="BO762" s="3"/>
    </row>
    <row r="763" ht="15.75" customHeight="1">
      <c r="E763" s="2"/>
      <c r="F763" s="2"/>
      <c r="G763" s="2"/>
      <c r="H763" s="2"/>
      <c r="I763" s="2"/>
      <c r="J763" s="6"/>
      <c r="BL763" s="3"/>
      <c r="BM763" s="3"/>
      <c r="BN763" s="3"/>
      <c r="BO763" s="3"/>
    </row>
    <row r="764" ht="15.75" customHeight="1">
      <c r="E764" s="2"/>
      <c r="F764" s="2"/>
      <c r="G764" s="2"/>
      <c r="H764" s="2"/>
      <c r="I764" s="2"/>
      <c r="J764" s="6"/>
      <c r="BL764" s="3"/>
      <c r="BM764" s="3"/>
      <c r="BN764" s="3"/>
      <c r="BO764" s="3"/>
    </row>
    <row r="765" ht="15.75" customHeight="1">
      <c r="E765" s="2"/>
      <c r="F765" s="2"/>
      <c r="G765" s="2"/>
      <c r="H765" s="2"/>
      <c r="I765" s="2"/>
      <c r="J765" s="6"/>
      <c r="BL765" s="3"/>
      <c r="BM765" s="3"/>
      <c r="BN765" s="3"/>
      <c r="BO765" s="3"/>
    </row>
    <row r="766" ht="15.75" customHeight="1">
      <c r="E766" s="2"/>
      <c r="F766" s="2"/>
      <c r="G766" s="2"/>
      <c r="H766" s="2"/>
      <c r="I766" s="2"/>
      <c r="J766" s="6"/>
      <c r="BL766" s="3"/>
      <c r="BM766" s="3"/>
      <c r="BN766" s="3"/>
      <c r="BO766" s="3"/>
    </row>
    <row r="767" ht="15.75" customHeight="1">
      <c r="E767" s="2"/>
      <c r="F767" s="2"/>
      <c r="G767" s="2"/>
      <c r="H767" s="2"/>
      <c r="I767" s="2"/>
      <c r="J767" s="6"/>
      <c r="BL767" s="3"/>
      <c r="BM767" s="3"/>
      <c r="BN767" s="3"/>
      <c r="BO767" s="3"/>
    </row>
    <row r="768" ht="15.75" customHeight="1">
      <c r="E768" s="2"/>
      <c r="F768" s="2"/>
      <c r="G768" s="2"/>
      <c r="H768" s="2"/>
      <c r="I768" s="2"/>
      <c r="J768" s="6"/>
      <c r="BL768" s="3"/>
      <c r="BM768" s="3"/>
      <c r="BN768" s="3"/>
      <c r="BO768" s="3"/>
    </row>
    <row r="769" ht="15.75" customHeight="1">
      <c r="E769" s="2"/>
      <c r="F769" s="2"/>
      <c r="G769" s="2"/>
      <c r="H769" s="2"/>
      <c r="I769" s="2"/>
      <c r="J769" s="6"/>
      <c r="BL769" s="3"/>
      <c r="BM769" s="3"/>
      <c r="BN769" s="3"/>
      <c r="BO769" s="3"/>
    </row>
    <row r="770" ht="15.75" customHeight="1">
      <c r="E770" s="2"/>
      <c r="F770" s="2"/>
      <c r="G770" s="2"/>
      <c r="H770" s="2"/>
      <c r="I770" s="2"/>
      <c r="J770" s="6"/>
      <c r="BL770" s="3"/>
      <c r="BM770" s="3"/>
      <c r="BN770" s="3"/>
      <c r="BO770" s="3"/>
    </row>
    <row r="771" ht="15.75" customHeight="1">
      <c r="E771" s="2"/>
      <c r="F771" s="2"/>
      <c r="G771" s="2"/>
      <c r="H771" s="2"/>
      <c r="I771" s="2"/>
      <c r="J771" s="6"/>
      <c r="BL771" s="3"/>
      <c r="BM771" s="3"/>
      <c r="BN771" s="3"/>
      <c r="BO771" s="3"/>
    </row>
    <row r="772" ht="15.75" customHeight="1">
      <c r="E772" s="2"/>
      <c r="F772" s="2"/>
      <c r="G772" s="2"/>
      <c r="H772" s="2"/>
      <c r="I772" s="2"/>
      <c r="J772" s="6"/>
      <c r="BL772" s="3"/>
      <c r="BM772" s="3"/>
      <c r="BN772" s="3"/>
      <c r="BO772" s="3"/>
    </row>
    <row r="773" ht="15.75" customHeight="1">
      <c r="E773" s="2"/>
      <c r="F773" s="2"/>
      <c r="G773" s="2"/>
      <c r="H773" s="2"/>
      <c r="I773" s="2"/>
      <c r="J773" s="6"/>
      <c r="BL773" s="3"/>
      <c r="BM773" s="3"/>
      <c r="BN773" s="3"/>
      <c r="BO773" s="3"/>
    </row>
    <row r="774" ht="15.75" customHeight="1">
      <c r="E774" s="2"/>
      <c r="F774" s="2"/>
      <c r="G774" s="2"/>
      <c r="H774" s="2"/>
      <c r="I774" s="2"/>
      <c r="J774" s="6"/>
      <c r="BL774" s="3"/>
      <c r="BM774" s="3"/>
      <c r="BN774" s="3"/>
      <c r="BO774" s="3"/>
    </row>
    <row r="775" ht="15.75" customHeight="1">
      <c r="E775" s="2"/>
      <c r="F775" s="2"/>
      <c r="G775" s="2"/>
      <c r="H775" s="2"/>
      <c r="I775" s="2"/>
      <c r="J775" s="6"/>
      <c r="BL775" s="3"/>
      <c r="BM775" s="3"/>
      <c r="BN775" s="3"/>
      <c r="BO775" s="3"/>
    </row>
    <row r="776" ht="15.75" customHeight="1">
      <c r="E776" s="2"/>
      <c r="F776" s="2"/>
      <c r="G776" s="2"/>
      <c r="H776" s="2"/>
      <c r="I776" s="2"/>
      <c r="J776" s="6"/>
      <c r="BL776" s="3"/>
      <c r="BM776" s="3"/>
      <c r="BN776" s="3"/>
      <c r="BO776" s="3"/>
    </row>
    <row r="777" ht="15.75" customHeight="1">
      <c r="E777" s="2"/>
      <c r="F777" s="2"/>
      <c r="G777" s="2"/>
      <c r="H777" s="2"/>
      <c r="I777" s="2"/>
      <c r="J777" s="6"/>
      <c r="BL777" s="3"/>
      <c r="BM777" s="3"/>
      <c r="BN777" s="3"/>
      <c r="BO777" s="3"/>
    </row>
    <row r="778" ht="15.75" customHeight="1">
      <c r="E778" s="2"/>
      <c r="F778" s="2"/>
      <c r="G778" s="2"/>
      <c r="H778" s="2"/>
      <c r="I778" s="2"/>
      <c r="J778" s="6"/>
      <c r="BL778" s="3"/>
      <c r="BM778" s="3"/>
      <c r="BN778" s="3"/>
      <c r="BO778" s="3"/>
    </row>
    <row r="779" ht="15.75" customHeight="1">
      <c r="E779" s="2"/>
      <c r="F779" s="2"/>
      <c r="G779" s="2"/>
      <c r="H779" s="2"/>
      <c r="I779" s="2"/>
      <c r="J779" s="6"/>
      <c r="BL779" s="3"/>
      <c r="BM779" s="3"/>
      <c r="BN779" s="3"/>
      <c r="BO779" s="3"/>
    </row>
    <row r="780" ht="15.75" customHeight="1">
      <c r="E780" s="2"/>
      <c r="F780" s="2"/>
      <c r="G780" s="2"/>
      <c r="H780" s="2"/>
      <c r="I780" s="2"/>
      <c r="J780" s="6"/>
      <c r="BL780" s="3"/>
      <c r="BM780" s="3"/>
      <c r="BN780" s="3"/>
      <c r="BO780" s="3"/>
    </row>
    <row r="781" ht="15.75" customHeight="1">
      <c r="E781" s="2"/>
      <c r="F781" s="2"/>
      <c r="G781" s="2"/>
      <c r="H781" s="2"/>
      <c r="I781" s="2"/>
      <c r="J781" s="6"/>
      <c r="BL781" s="3"/>
      <c r="BM781" s="3"/>
      <c r="BN781" s="3"/>
      <c r="BO781" s="3"/>
    </row>
    <row r="782" ht="15.75" customHeight="1">
      <c r="E782" s="2"/>
      <c r="F782" s="2"/>
      <c r="G782" s="2"/>
      <c r="H782" s="2"/>
      <c r="I782" s="2"/>
      <c r="J782" s="6"/>
      <c r="BL782" s="3"/>
      <c r="BM782" s="3"/>
      <c r="BN782" s="3"/>
      <c r="BO782" s="3"/>
    </row>
    <row r="783" ht="15.75" customHeight="1">
      <c r="E783" s="2"/>
      <c r="F783" s="2"/>
      <c r="G783" s="2"/>
      <c r="H783" s="2"/>
      <c r="I783" s="2"/>
      <c r="J783" s="6"/>
      <c r="BL783" s="3"/>
      <c r="BM783" s="3"/>
      <c r="BN783" s="3"/>
      <c r="BO783" s="3"/>
    </row>
    <row r="784" ht="15.75" customHeight="1">
      <c r="E784" s="2"/>
      <c r="F784" s="2"/>
      <c r="G784" s="2"/>
      <c r="H784" s="2"/>
      <c r="I784" s="2"/>
      <c r="J784" s="6"/>
      <c r="BL784" s="3"/>
      <c r="BM784" s="3"/>
      <c r="BN784" s="3"/>
      <c r="BO784" s="3"/>
    </row>
    <row r="785" ht="15.75" customHeight="1">
      <c r="E785" s="2"/>
      <c r="F785" s="2"/>
      <c r="G785" s="2"/>
      <c r="H785" s="2"/>
      <c r="I785" s="2"/>
      <c r="J785" s="6"/>
      <c r="BL785" s="3"/>
      <c r="BM785" s="3"/>
      <c r="BN785" s="3"/>
      <c r="BO785" s="3"/>
    </row>
    <row r="786" ht="15.75" customHeight="1">
      <c r="E786" s="2"/>
      <c r="F786" s="2"/>
      <c r="G786" s="2"/>
      <c r="H786" s="2"/>
      <c r="I786" s="2"/>
      <c r="J786" s="6"/>
      <c r="BL786" s="3"/>
      <c r="BM786" s="3"/>
      <c r="BN786" s="3"/>
      <c r="BO786" s="3"/>
    </row>
    <row r="787" ht="15.75" customHeight="1">
      <c r="E787" s="2"/>
      <c r="F787" s="2"/>
      <c r="G787" s="2"/>
      <c r="H787" s="2"/>
      <c r="I787" s="2"/>
      <c r="J787" s="6"/>
      <c r="BL787" s="3"/>
      <c r="BM787" s="3"/>
      <c r="BN787" s="3"/>
      <c r="BO787" s="3"/>
    </row>
    <row r="788" ht="15.75" customHeight="1">
      <c r="E788" s="2"/>
      <c r="F788" s="2"/>
      <c r="G788" s="2"/>
      <c r="H788" s="2"/>
      <c r="I788" s="2"/>
      <c r="J788" s="6"/>
      <c r="BL788" s="3"/>
      <c r="BM788" s="3"/>
      <c r="BN788" s="3"/>
      <c r="BO788" s="3"/>
    </row>
    <row r="789" ht="15.75" customHeight="1">
      <c r="E789" s="2"/>
      <c r="F789" s="2"/>
      <c r="G789" s="2"/>
      <c r="H789" s="2"/>
      <c r="I789" s="2"/>
      <c r="J789" s="6"/>
      <c r="BL789" s="3"/>
      <c r="BM789" s="3"/>
      <c r="BN789" s="3"/>
      <c r="BO789" s="3"/>
    </row>
    <row r="790" ht="15.75" customHeight="1">
      <c r="E790" s="2"/>
      <c r="F790" s="2"/>
      <c r="G790" s="2"/>
      <c r="H790" s="2"/>
      <c r="I790" s="2"/>
      <c r="J790" s="6"/>
      <c r="BL790" s="3"/>
      <c r="BM790" s="3"/>
      <c r="BN790" s="3"/>
      <c r="BO790" s="3"/>
    </row>
    <row r="791" ht="15.75" customHeight="1">
      <c r="E791" s="2"/>
      <c r="F791" s="2"/>
      <c r="G791" s="2"/>
      <c r="H791" s="2"/>
      <c r="I791" s="2"/>
      <c r="J791" s="6"/>
      <c r="BL791" s="3"/>
      <c r="BM791" s="3"/>
      <c r="BN791" s="3"/>
      <c r="BO791" s="3"/>
    </row>
    <row r="792" ht="15.75" customHeight="1">
      <c r="E792" s="2"/>
      <c r="F792" s="2"/>
      <c r="G792" s="2"/>
      <c r="H792" s="2"/>
      <c r="I792" s="2"/>
      <c r="J792" s="6"/>
      <c r="BL792" s="3"/>
      <c r="BM792" s="3"/>
      <c r="BN792" s="3"/>
      <c r="BO792" s="3"/>
    </row>
    <row r="793" ht="15.75" customHeight="1">
      <c r="E793" s="2"/>
      <c r="F793" s="2"/>
      <c r="G793" s="2"/>
      <c r="H793" s="2"/>
      <c r="I793" s="2"/>
      <c r="J793" s="6"/>
      <c r="BL793" s="3"/>
      <c r="BM793" s="3"/>
      <c r="BN793" s="3"/>
      <c r="BO793" s="3"/>
    </row>
    <row r="794" ht="15.75" customHeight="1">
      <c r="E794" s="2"/>
      <c r="F794" s="2"/>
      <c r="G794" s="2"/>
      <c r="H794" s="2"/>
      <c r="I794" s="2"/>
      <c r="J794" s="6"/>
      <c r="BL794" s="3"/>
      <c r="BM794" s="3"/>
      <c r="BN794" s="3"/>
      <c r="BO794" s="3"/>
    </row>
    <row r="795" ht="15.75" customHeight="1">
      <c r="E795" s="2"/>
      <c r="F795" s="2"/>
      <c r="G795" s="2"/>
      <c r="H795" s="2"/>
      <c r="I795" s="2"/>
      <c r="J795" s="6"/>
      <c r="BL795" s="3"/>
      <c r="BM795" s="3"/>
      <c r="BN795" s="3"/>
      <c r="BO795" s="3"/>
    </row>
    <row r="796" ht="15.75" customHeight="1">
      <c r="E796" s="2"/>
      <c r="F796" s="2"/>
      <c r="G796" s="2"/>
      <c r="H796" s="2"/>
      <c r="I796" s="2"/>
      <c r="J796" s="6"/>
      <c r="BL796" s="3"/>
      <c r="BM796" s="3"/>
      <c r="BN796" s="3"/>
      <c r="BO796" s="3"/>
    </row>
    <row r="797" ht="15.75" customHeight="1">
      <c r="E797" s="2"/>
      <c r="F797" s="2"/>
      <c r="G797" s="2"/>
      <c r="H797" s="2"/>
      <c r="I797" s="2"/>
      <c r="J797" s="6"/>
      <c r="BL797" s="3"/>
      <c r="BM797" s="3"/>
      <c r="BN797" s="3"/>
      <c r="BO797" s="3"/>
    </row>
    <row r="798" ht="15.75" customHeight="1">
      <c r="E798" s="2"/>
      <c r="F798" s="2"/>
      <c r="G798" s="2"/>
      <c r="H798" s="2"/>
      <c r="I798" s="2"/>
      <c r="J798" s="6"/>
      <c r="BL798" s="3"/>
      <c r="BM798" s="3"/>
      <c r="BN798" s="3"/>
      <c r="BO798" s="3"/>
    </row>
    <row r="799" ht="15.75" customHeight="1">
      <c r="E799" s="2"/>
      <c r="F799" s="2"/>
      <c r="G799" s="2"/>
      <c r="H799" s="2"/>
      <c r="I799" s="2"/>
      <c r="J799" s="6"/>
      <c r="BL799" s="3"/>
      <c r="BM799" s="3"/>
      <c r="BN799" s="3"/>
      <c r="BO799" s="3"/>
    </row>
    <row r="800" ht="15.75" customHeight="1">
      <c r="E800" s="2"/>
      <c r="F800" s="2"/>
      <c r="G800" s="2"/>
      <c r="H800" s="2"/>
      <c r="I800" s="2"/>
      <c r="J800" s="6"/>
      <c r="BL800" s="3"/>
      <c r="BM800" s="3"/>
      <c r="BN800" s="3"/>
      <c r="BO800" s="3"/>
    </row>
    <row r="801" ht="15.75" customHeight="1">
      <c r="E801" s="2"/>
      <c r="F801" s="2"/>
      <c r="G801" s="2"/>
      <c r="H801" s="2"/>
      <c r="I801" s="2"/>
      <c r="J801" s="6"/>
      <c r="BL801" s="3"/>
      <c r="BM801" s="3"/>
      <c r="BN801" s="3"/>
      <c r="BO801" s="3"/>
    </row>
    <row r="802" ht="15.75" customHeight="1">
      <c r="E802" s="2"/>
      <c r="F802" s="2"/>
      <c r="G802" s="2"/>
      <c r="H802" s="2"/>
      <c r="I802" s="2"/>
      <c r="J802" s="6"/>
      <c r="BL802" s="3"/>
      <c r="BM802" s="3"/>
      <c r="BN802" s="3"/>
      <c r="BO802" s="3"/>
    </row>
    <row r="803" ht="15.75" customHeight="1">
      <c r="E803" s="2"/>
      <c r="F803" s="2"/>
      <c r="G803" s="2"/>
      <c r="H803" s="2"/>
      <c r="I803" s="2"/>
      <c r="J803" s="6"/>
      <c r="BL803" s="3"/>
      <c r="BM803" s="3"/>
      <c r="BN803" s="3"/>
      <c r="BO803" s="3"/>
    </row>
    <row r="804" ht="15.75" customHeight="1">
      <c r="E804" s="2"/>
      <c r="F804" s="2"/>
      <c r="G804" s="2"/>
      <c r="H804" s="2"/>
      <c r="I804" s="2"/>
      <c r="J804" s="6"/>
      <c r="BL804" s="3"/>
      <c r="BM804" s="3"/>
      <c r="BN804" s="3"/>
      <c r="BO804" s="3"/>
    </row>
    <row r="805" ht="15.75" customHeight="1">
      <c r="E805" s="2"/>
      <c r="F805" s="2"/>
      <c r="G805" s="2"/>
      <c r="H805" s="2"/>
      <c r="I805" s="2"/>
      <c r="J805" s="6"/>
      <c r="BL805" s="3"/>
      <c r="BM805" s="3"/>
      <c r="BN805" s="3"/>
      <c r="BO805" s="3"/>
    </row>
    <row r="806" ht="15.75" customHeight="1">
      <c r="E806" s="2"/>
      <c r="F806" s="2"/>
      <c r="G806" s="2"/>
      <c r="H806" s="2"/>
      <c r="I806" s="2"/>
      <c r="J806" s="6"/>
      <c r="BL806" s="3"/>
      <c r="BM806" s="3"/>
      <c r="BN806" s="3"/>
      <c r="BO806" s="3"/>
    </row>
    <row r="807" ht="15.75" customHeight="1">
      <c r="E807" s="2"/>
      <c r="F807" s="2"/>
      <c r="G807" s="2"/>
      <c r="H807" s="2"/>
      <c r="I807" s="2"/>
      <c r="J807" s="6"/>
      <c r="BL807" s="3"/>
      <c r="BM807" s="3"/>
      <c r="BN807" s="3"/>
      <c r="BO807" s="3"/>
    </row>
    <row r="808" ht="15.75" customHeight="1">
      <c r="E808" s="2"/>
      <c r="F808" s="2"/>
      <c r="G808" s="2"/>
      <c r="H808" s="2"/>
      <c r="I808" s="2"/>
      <c r="J808" s="6"/>
      <c r="BL808" s="3"/>
      <c r="BM808" s="3"/>
      <c r="BN808" s="3"/>
      <c r="BO808" s="3"/>
    </row>
    <row r="809" ht="15.75" customHeight="1">
      <c r="E809" s="2"/>
      <c r="F809" s="2"/>
      <c r="G809" s="2"/>
      <c r="H809" s="2"/>
      <c r="I809" s="2"/>
      <c r="J809" s="6"/>
      <c r="BL809" s="3"/>
      <c r="BM809" s="3"/>
      <c r="BN809" s="3"/>
      <c r="BO809" s="3"/>
    </row>
    <row r="810" ht="15.75" customHeight="1">
      <c r="E810" s="2"/>
      <c r="F810" s="2"/>
      <c r="G810" s="2"/>
      <c r="H810" s="2"/>
      <c r="I810" s="2"/>
      <c r="J810" s="6"/>
      <c r="BL810" s="3"/>
      <c r="BM810" s="3"/>
      <c r="BN810" s="3"/>
      <c r="BO810" s="3"/>
    </row>
    <row r="811" ht="15.75" customHeight="1">
      <c r="E811" s="2"/>
      <c r="F811" s="2"/>
      <c r="G811" s="2"/>
      <c r="H811" s="2"/>
      <c r="I811" s="2"/>
      <c r="J811" s="6"/>
      <c r="BL811" s="3"/>
      <c r="BM811" s="3"/>
      <c r="BN811" s="3"/>
      <c r="BO811" s="3"/>
    </row>
    <row r="812" ht="15.75" customHeight="1">
      <c r="E812" s="2"/>
      <c r="F812" s="2"/>
      <c r="G812" s="2"/>
      <c r="H812" s="2"/>
      <c r="I812" s="2"/>
      <c r="J812" s="6"/>
      <c r="BL812" s="3"/>
      <c r="BM812" s="3"/>
      <c r="BN812" s="3"/>
      <c r="BO812" s="3"/>
    </row>
    <row r="813" ht="15.75" customHeight="1">
      <c r="E813" s="2"/>
      <c r="F813" s="2"/>
      <c r="G813" s="2"/>
      <c r="H813" s="2"/>
      <c r="I813" s="2"/>
      <c r="J813" s="6"/>
      <c r="BL813" s="3"/>
      <c r="BM813" s="3"/>
      <c r="BN813" s="3"/>
      <c r="BO813" s="3"/>
    </row>
    <row r="814" ht="15.75" customHeight="1">
      <c r="E814" s="2"/>
      <c r="F814" s="2"/>
      <c r="G814" s="2"/>
      <c r="H814" s="2"/>
      <c r="I814" s="2"/>
      <c r="J814" s="6"/>
      <c r="BL814" s="3"/>
      <c r="BM814" s="3"/>
      <c r="BN814" s="3"/>
      <c r="BO814" s="3"/>
    </row>
    <row r="815" ht="15.75" customHeight="1">
      <c r="E815" s="2"/>
      <c r="F815" s="2"/>
      <c r="G815" s="2"/>
      <c r="H815" s="2"/>
      <c r="I815" s="2"/>
      <c r="J815" s="6"/>
      <c r="BL815" s="3"/>
      <c r="BM815" s="3"/>
      <c r="BN815" s="3"/>
      <c r="BO815" s="3"/>
    </row>
    <row r="816" ht="15.75" customHeight="1">
      <c r="E816" s="2"/>
      <c r="F816" s="2"/>
      <c r="G816" s="2"/>
      <c r="H816" s="2"/>
      <c r="I816" s="2"/>
      <c r="J816" s="6"/>
      <c r="BL816" s="3"/>
      <c r="BM816" s="3"/>
      <c r="BN816" s="3"/>
      <c r="BO816" s="3"/>
    </row>
    <row r="817" ht="15.75" customHeight="1">
      <c r="E817" s="2"/>
      <c r="F817" s="2"/>
      <c r="G817" s="2"/>
      <c r="H817" s="2"/>
      <c r="I817" s="2"/>
      <c r="J817" s="6"/>
      <c r="BL817" s="3"/>
      <c r="BM817" s="3"/>
      <c r="BN817" s="3"/>
      <c r="BO817" s="3"/>
    </row>
    <row r="818" ht="15.75" customHeight="1">
      <c r="E818" s="2"/>
      <c r="F818" s="2"/>
      <c r="G818" s="2"/>
      <c r="H818" s="2"/>
      <c r="I818" s="2"/>
      <c r="J818" s="6"/>
      <c r="BL818" s="3"/>
      <c r="BM818" s="3"/>
      <c r="BN818" s="3"/>
      <c r="BO818" s="3"/>
    </row>
    <row r="819" ht="15.75" customHeight="1">
      <c r="E819" s="2"/>
      <c r="F819" s="2"/>
      <c r="G819" s="2"/>
      <c r="H819" s="2"/>
      <c r="I819" s="2"/>
      <c r="J819" s="6"/>
      <c r="BL819" s="3"/>
      <c r="BM819" s="3"/>
      <c r="BN819" s="3"/>
      <c r="BO819" s="3"/>
    </row>
    <row r="820" ht="15.75" customHeight="1">
      <c r="E820" s="2"/>
      <c r="F820" s="2"/>
      <c r="G820" s="2"/>
      <c r="H820" s="2"/>
      <c r="I820" s="2"/>
      <c r="J820" s="6"/>
      <c r="BL820" s="3"/>
      <c r="BM820" s="3"/>
      <c r="BN820" s="3"/>
      <c r="BO820" s="3"/>
    </row>
    <row r="821" ht="15.75" customHeight="1">
      <c r="E821" s="2"/>
      <c r="F821" s="2"/>
      <c r="G821" s="2"/>
      <c r="H821" s="2"/>
      <c r="I821" s="2"/>
      <c r="J821" s="6"/>
      <c r="BL821" s="3"/>
      <c r="BM821" s="3"/>
      <c r="BN821" s="3"/>
      <c r="BO821" s="3"/>
    </row>
    <row r="822" ht="15.75" customHeight="1">
      <c r="E822" s="2"/>
      <c r="F822" s="2"/>
      <c r="G822" s="2"/>
      <c r="H822" s="2"/>
      <c r="I822" s="2"/>
      <c r="J822" s="6"/>
      <c r="BL822" s="3"/>
      <c r="BM822" s="3"/>
      <c r="BN822" s="3"/>
      <c r="BO822" s="3"/>
    </row>
    <row r="823" ht="15.75" customHeight="1">
      <c r="E823" s="2"/>
      <c r="F823" s="2"/>
      <c r="G823" s="2"/>
      <c r="H823" s="2"/>
      <c r="I823" s="2"/>
      <c r="J823" s="6"/>
      <c r="BL823" s="3"/>
      <c r="BM823" s="3"/>
      <c r="BN823" s="3"/>
      <c r="BO823" s="3"/>
    </row>
    <row r="824" ht="15.75" customHeight="1">
      <c r="E824" s="2"/>
      <c r="F824" s="2"/>
      <c r="G824" s="2"/>
      <c r="H824" s="2"/>
      <c r="I824" s="2"/>
      <c r="J824" s="6"/>
      <c r="BL824" s="3"/>
      <c r="BM824" s="3"/>
      <c r="BN824" s="3"/>
      <c r="BO824" s="3"/>
    </row>
    <row r="825" ht="15.75" customHeight="1">
      <c r="E825" s="2"/>
      <c r="F825" s="2"/>
      <c r="G825" s="2"/>
      <c r="H825" s="2"/>
      <c r="I825" s="2"/>
      <c r="J825" s="6"/>
      <c r="BL825" s="3"/>
      <c r="BM825" s="3"/>
      <c r="BN825" s="3"/>
      <c r="BO825" s="3"/>
    </row>
    <row r="826" ht="15.75" customHeight="1">
      <c r="E826" s="2"/>
      <c r="F826" s="2"/>
      <c r="G826" s="2"/>
      <c r="H826" s="2"/>
      <c r="I826" s="2"/>
      <c r="J826" s="6"/>
      <c r="BL826" s="3"/>
      <c r="BM826" s="3"/>
      <c r="BN826" s="3"/>
      <c r="BO826" s="3"/>
    </row>
    <row r="827" ht="15.75" customHeight="1">
      <c r="E827" s="2"/>
      <c r="F827" s="2"/>
      <c r="G827" s="2"/>
      <c r="H827" s="2"/>
      <c r="I827" s="2"/>
      <c r="J827" s="6"/>
      <c r="BL827" s="3"/>
      <c r="BM827" s="3"/>
      <c r="BN827" s="3"/>
      <c r="BO827" s="3"/>
    </row>
    <row r="828" ht="15.75" customHeight="1">
      <c r="E828" s="2"/>
      <c r="F828" s="2"/>
      <c r="G828" s="2"/>
      <c r="H828" s="2"/>
      <c r="I828" s="2"/>
      <c r="J828" s="6"/>
      <c r="BL828" s="3"/>
      <c r="BM828" s="3"/>
      <c r="BN828" s="3"/>
      <c r="BO828" s="3"/>
    </row>
    <row r="829" ht="15.75" customHeight="1">
      <c r="E829" s="2"/>
      <c r="F829" s="2"/>
      <c r="G829" s="2"/>
      <c r="H829" s="2"/>
      <c r="I829" s="2"/>
      <c r="J829" s="6"/>
      <c r="BL829" s="3"/>
      <c r="BM829" s="3"/>
      <c r="BN829" s="3"/>
      <c r="BO829" s="3"/>
    </row>
    <row r="830" ht="15.75" customHeight="1">
      <c r="E830" s="2"/>
      <c r="F830" s="2"/>
      <c r="G830" s="2"/>
      <c r="H830" s="2"/>
      <c r="I830" s="2"/>
      <c r="J830" s="6"/>
      <c r="BL830" s="3"/>
      <c r="BM830" s="3"/>
      <c r="BN830" s="3"/>
      <c r="BO830" s="3"/>
    </row>
    <row r="831" ht="15.75" customHeight="1">
      <c r="E831" s="2"/>
      <c r="F831" s="2"/>
      <c r="G831" s="2"/>
      <c r="H831" s="2"/>
      <c r="I831" s="2"/>
      <c r="J831" s="6"/>
      <c r="BL831" s="3"/>
      <c r="BM831" s="3"/>
      <c r="BN831" s="3"/>
      <c r="BO831" s="3"/>
    </row>
    <row r="832" ht="15.75" customHeight="1">
      <c r="E832" s="2"/>
      <c r="F832" s="2"/>
      <c r="G832" s="2"/>
      <c r="H832" s="2"/>
      <c r="I832" s="2"/>
      <c r="J832" s="6"/>
      <c r="BL832" s="3"/>
      <c r="BM832" s="3"/>
      <c r="BN832" s="3"/>
      <c r="BO832" s="3"/>
    </row>
    <row r="833" ht="15.75" customHeight="1">
      <c r="E833" s="2"/>
      <c r="F833" s="2"/>
      <c r="G833" s="2"/>
      <c r="H833" s="2"/>
      <c r="I833" s="2"/>
      <c r="J833" s="6"/>
      <c r="BL833" s="3"/>
      <c r="BM833" s="3"/>
      <c r="BN833" s="3"/>
      <c r="BO833" s="3"/>
    </row>
    <row r="834" ht="15.75" customHeight="1">
      <c r="E834" s="2"/>
      <c r="F834" s="2"/>
      <c r="G834" s="2"/>
      <c r="H834" s="2"/>
      <c r="I834" s="2"/>
      <c r="J834" s="6"/>
      <c r="BL834" s="3"/>
      <c r="BM834" s="3"/>
      <c r="BN834" s="3"/>
      <c r="BO834" s="3"/>
    </row>
    <row r="835" ht="15.75" customHeight="1">
      <c r="E835" s="2"/>
      <c r="F835" s="2"/>
      <c r="G835" s="2"/>
      <c r="H835" s="2"/>
      <c r="I835" s="2"/>
      <c r="J835" s="6"/>
      <c r="BL835" s="3"/>
      <c r="BM835" s="3"/>
      <c r="BN835" s="3"/>
      <c r="BO835" s="3"/>
    </row>
    <row r="836" ht="15.75" customHeight="1">
      <c r="E836" s="2"/>
      <c r="F836" s="2"/>
      <c r="G836" s="2"/>
      <c r="H836" s="2"/>
      <c r="I836" s="2"/>
      <c r="J836" s="6"/>
      <c r="BL836" s="3"/>
      <c r="BM836" s="3"/>
      <c r="BN836" s="3"/>
      <c r="BO836" s="3"/>
    </row>
    <row r="837" ht="15.75" customHeight="1">
      <c r="E837" s="2"/>
      <c r="F837" s="2"/>
      <c r="G837" s="2"/>
      <c r="H837" s="2"/>
      <c r="I837" s="2"/>
      <c r="J837" s="6"/>
      <c r="BL837" s="3"/>
      <c r="BM837" s="3"/>
      <c r="BN837" s="3"/>
      <c r="BO837" s="3"/>
    </row>
    <row r="838" ht="15.75" customHeight="1">
      <c r="E838" s="2"/>
      <c r="F838" s="2"/>
      <c r="G838" s="2"/>
      <c r="H838" s="2"/>
      <c r="I838" s="2"/>
      <c r="J838" s="6"/>
      <c r="BL838" s="3"/>
      <c r="BM838" s="3"/>
      <c r="BN838" s="3"/>
      <c r="BO838" s="3"/>
    </row>
    <row r="839" ht="15.75" customHeight="1">
      <c r="E839" s="2"/>
      <c r="F839" s="2"/>
      <c r="G839" s="2"/>
      <c r="H839" s="2"/>
      <c r="I839" s="2"/>
      <c r="J839" s="6"/>
      <c r="BL839" s="3"/>
      <c r="BM839" s="3"/>
      <c r="BN839" s="3"/>
      <c r="BO839" s="3"/>
    </row>
    <row r="840" ht="15.75" customHeight="1">
      <c r="E840" s="2"/>
      <c r="F840" s="2"/>
      <c r="G840" s="2"/>
      <c r="H840" s="2"/>
      <c r="I840" s="2"/>
      <c r="J840" s="6"/>
      <c r="BL840" s="3"/>
      <c r="BM840" s="3"/>
      <c r="BN840" s="3"/>
      <c r="BO840" s="3"/>
    </row>
    <row r="841" ht="15.75" customHeight="1">
      <c r="E841" s="2"/>
      <c r="F841" s="2"/>
      <c r="G841" s="2"/>
      <c r="H841" s="2"/>
      <c r="I841" s="2"/>
      <c r="J841" s="6"/>
      <c r="BL841" s="3"/>
      <c r="BM841" s="3"/>
      <c r="BN841" s="3"/>
      <c r="BO841" s="3"/>
    </row>
    <row r="842" ht="15.75" customHeight="1">
      <c r="E842" s="2"/>
      <c r="F842" s="2"/>
      <c r="G842" s="2"/>
      <c r="H842" s="2"/>
      <c r="I842" s="2"/>
      <c r="J842" s="6"/>
      <c r="BL842" s="3"/>
      <c r="BM842" s="3"/>
      <c r="BN842" s="3"/>
      <c r="BO842" s="3"/>
    </row>
    <row r="843" ht="15.75" customHeight="1">
      <c r="E843" s="2"/>
      <c r="F843" s="2"/>
      <c r="G843" s="2"/>
      <c r="H843" s="2"/>
      <c r="I843" s="2"/>
      <c r="J843" s="6"/>
      <c r="BL843" s="3"/>
      <c r="BM843" s="3"/>
      <c r="BN843" s="3"/>
      <c r="BO843" s="3"/>
    </row>
    <row r="844" ht="15.75" customHeight="1">
      <c r="E844" s="2"/>
      <c r="F844" s="2"/>
      <c r="G844" s="2"/>
      <c r="H844" s="2"/>
      <c r="I844" s="2"/>
      <c r="J844" s="6"/>
      <c r="BL844" s="3"/>
      <c r="BM844" s="3"/>
      <c r="BN844" s="3"/>
      <c r="BO844" s="3"/>
    </row>
    <row r="845" ht="15.75" customHeight="1">
      <c r="E845" s="2"/>
      <c r="F845" s="2"/>
      <c r="G845" s="2"/>
      <c r="H845" s="2"/>
      <c r="I845" s="2"/>
      <c r="J845" s="6"/>
      <c r="BL845" s="3"/>
      <c r="BM845" s="3"/>
      <c r="BN845" s="3"/>
      <c r="BO845" s="3"/>
    </row>
    <row r="846" ht="15.75" customHeight="1">
      <c r="E846" s="2"/>
      <c r="F846" s="2"/>
      <c r="G846" s="2"/>
      <c r="H846" s="2"/>
      <c r="I846" s="2"/>
      <c r="J846" s="6"/>
      <c r="BL846" s="3"/>
      <c r="BM846" s="3"/>
      <c r="BN846" s="3"/>
      <c r="BO846" s="3"/>
    </row>
    <row r="847" ht="15.75" customHeight="1">
      <c r="E847" s="2"/>
      <c r="F847" s="2"/>
      <c r="G847" s="2"/>
      <c r="H847" s="2"/>
      <c r="I847" s="2"/>
      <c r="J847" s="6"/>
      <c r="BL847" s="3"/>
      <c r="BM847" s="3"/>
      <c r="BN847" s="3"/>
      <c r="BO847" s="3"/>
    </row>
    <row r="848" ht="15.75" customHeight="1">
      <c r="E848" s="2"/>
      <c r="F848" s="2"/>
      <c r="G848" s="2"/>
      <c r="H848" s="2"/>
      <c r="I848" s="2"/>
      <c r="J848" s="6"/>
      <c r="BL848" s="3"/>
      <c r="BM848" s="3"/>
      <c r="BN848" s="3"/>
      <c r="BO848" s="3"/>
    </row>
    <row r="849" ht="15.75" customHeight="1">
      <c r="E849" s="2"/>
      <c r="F849" s="2"/>
      <c r="G849" s="2"/>
      <c r="H849" s="2"/>
      <c r="I849" s="2"/>
      <c r="J849" s="6"/>
      <c r="BL849" s="3"/>
      <c r="BM849" s="3"/>
      <c r="BN849" s="3"/>
      <c r="BO849" s="3"/>
    </row>
    <row r="850" ht="15.75" customHeight="1">
      <c r="E850" s="2"/>
      <c r="F850" s="2"/>
      <c r="G850" s="2"/>
      <c r="H850" s="2"/>
      <c r="I850" s="2"/>
      <c r="J850" s="6"/>
      <c r="BL850" s="3"/>
      <c r="BM850" s="3"/>
      <c r="BN850" s="3"/>
      <c r="BO850" s="3"/>
    </row>
    <row r="851" ht="15.75" customHeight="1">
      <c r="E851" s="2"/>
      <c r="F851" s="2"/>
      <c r="G851" s="2"/>
      <c r="H851" s="2"/>
      <c r="I851" s="2"/>
      <c r="J851" s="6"/>
      <c r="BL851" s="3"/>
      <c r="BM851" s="3"/>
      <c r="BN851" s="3"/>
      <c r="BO851" s="3"/>
    </row>
    <row r="852" ht="15.75" customHeight="1">
      <c r="E852" s="2"/>
      <c r="F852" s="2"/>
      <c r="G852" s="2"/>
      <c r="H852" s="2"/>
      <c r="I852" s="2"/>
      <c r="J852" s="6"/>
      <c r="BL852" s="3"/>
      <c r="BM852" s="3"/>
      <c r="BN852" s="3"/>
      <c r="BO852" s="3"/>
    </row>
    <row r="853" ht="15.75" customHeight="1">
      <c r="E853" s="2"/>
      <c r="F853" s="2"/>
      <c r="G853" s="2"/>
      <c r="H853" s="2"/>
      <c r="I853" s="2"/>
      <c r="J853" s="6"/>
      <c r="BL853" s="3"/>
      <c r="BM853" s="3"/>
      <c r="BN853" s="3"/>
      <c r="BO853" s="3"/>
    </row>
    <row r="854" ht="15.75" customHeight="1">
      <c r="E854" s="2"/>
      <c r="F854" s="2"/>
      <c r="G854" s="2"/>
      <c r="H854" s="2"/>
      <c r="I854" s="2"/>
      <c r="J854" s="6"/>
      <c r="BL854" s="3"/>
      <c r="BM854" s="3"/>
      <c r="BN854" s="3"/>
      <c r="BO854" s="3"/>
    </row>
    <row r="855" ht="15.75" customHeight="1">
      <c r="E855" s="2"/>
      <c r="F855" s="2"/>
      <c r="G855" s="2"/>
      <c r="H855" s="2"/>
      <c r="I855" s="2"/>
      <c r="J855" s="6"/>
      <c r="BL855" s="3"/>
      <c r="BM855" s="3"/>
      <c r="BN855" s="3"/>
      <c r="BO855" s="3"/>
    </row>
    <row r="856" ht="15.75" customHeight="1">
      <c r="E856" s="2"/>
      <c r="F856" s="2"/>
      <c r="G856" s="2"/>
      <c r="H856" s="2"/>
      <c r="I856" s="2"/>
      <c r="J856" s="6"/>
      <c r="BL856" s="3"/>
      <c r="BM856" s="3"/>
      <c r="BN856" s="3"/>
      <c r="BO856" s="3"/>
    </row>
    <row r="857" ht="15.75" customHeight="1">
      <c r="E857" s="2"/>
      <c r="F857" s="2"/>
      <c r="G857" s="2"/>
      <c r="H857" s="2"/>
      <c r="I857" s="2"/>
      <c r="J857" s="6"/>
      <c r="BL857" s="3"/>
      <c r="BM857" s="3"/>
      <c r="BN857" s="3"/>
      <c r="BO857" s="3"/>
    </row>
    <row r="858" ht="15.75" customHeight="1">
      <c r="E858" s="2"/>
      <c r="F858" s="2"/>
      <c r="G858" s="2"/>
      <c r="H858" s="2"/>
      <c r="I858" s="2"/>
      <c r="J858" s="6"/>
      <c r="BL858" s="3"/>
      <c r="BM858" s="3"/>
      <c r="BN858" s="3"/>
      <c r="BO858" s="3"/>
    </row>
    <row r="859" ht="15.75" customHeight="1">
      <c r="E859" s="2"/>
      <c r="F859" s="2"/>
      <c r="G859" s="2"/>
      <c r="H859" s="2"/>
      <c r="I859" s="2"/>
      <c r="J859" s="6"/>
      <c r="BL859" s="3"/>
      <c r="BM859" s="3"/>
      <c r="BN859" s="3"/>
      <c r="BO859" s="3"/>
    </row>
    <row r="860" ht="15.75" customHeight="1">
      <c r="E860" s="2"/>
      <c r="F860" s="2"/>
      <c r="G860" s="2"/>
      <c r="H860" s="2"/>
      <c r="I860" s="2"/>
      <c r="J860" s="6"/>
      <c r="BL860" s="3"/>
      <c r="BM860" s="3"/>
      <c r="BN860" s="3"/>
      <c r="BO860" s="3"/>
    </row>
    <row r="861" ht="15.75" customHeight="1">
      <c r="E861" s="2"/>
      <c r="F861" s="2"/>
      <c r="G861" s="2"/>
      <c r="H861" s="2"/>
      <c r="I861" s="2"/>
      <c r="J861" s="6"/>
      <c r="BL861" s="3"/>
      <c r="BM861" s="3"/>
      <c r="BN861" s="3"/>
      <c r="BO861" s="3"/>
    </row>
    <row r="862" ht="15.75" customHeight="1">
      <c r="E862" s="2"/>
      <c r="F862" s="2"/>
      <c r="G862" s="2"/>
      <c r="H862" s="2"/>
      <c r="I862" s="2"/>
      <c r="J862" s="6"/>
      <c r="BL862" s="3"/>
      <c r="BM862" s="3"/>
      <c r="BN862" s="3"/>
      <c r="BO862" s="3"/>
    </row>
    <row r="863" ht="15.75" customHeight="1">
      <c r="E863" s="2"/>
      <c r="F863" s="2"/>
      <c r="G863" s="2"/>
      <c r="H863" s="2"/>
      <c r="I863" s="2"/>
      <c r="J863" s="6"/>
      <c r="BL863" s="3"/>
      <c r="BM863" s="3"/>
      <c r="BN863" s="3"/>
      <c r="BO863" s="3"/>
    </row>
    <row r="864" ht="15.75" customHeight="1">
      <c r="E864" s="2"/>
      <c r="F864" s="2"/>
      <c r="G864" s="2"/>
      <c r="H864" s="2"/>
      <c r="I864" s="2"/>
      <c r="J864" s="6"/>
      <c r="BL864" s="3"/>
      <c r="BM864" s="3"/>
      <c r="BN864" s="3"/>
      <c r="BO864" s="3"/>
    </row>
    <row r="865" ht="15.75" customHeight="1">
      <c r="E865" s="2"/>
      <c r="F865" s="2"/>
      <c r="G865" s="2"/>
      <c r="H865" s="2"/>
      <c r="I865" s="2"/>
      <c r="J865" s="6"/>
      <c r="BL865" s="3"/>
      <c r="BM865" s="3"/>
      <c r="BN865" s="3"/>
      <c r="BO865" s="3"/>
    </row>
    <row r="866" ht="15.75" customHeight="1">
      <c r="E866" s="2"/>
      <c r="F866" s="2"/>
      <c r="G866" s="2"/>
      <c r="H866" s="2"/>
      <c r="I866" s="2"/>
      <c r="J866" s="6"/>
      <c r="BL866" s="3"/>
      <c r="BM866" s="3"/>
      <c r="BN866" s="3"/>
      <c r="BO866" s="3"/>
    </row>
    <row r="867" ht="15.75" customHeight="1">
      <c r="E867" s="2"/>
      <c r="F867" s="2"/>
      <c r="G867" s="2"/>
      <c r="H867" s="2"/>
      <c r="I867" s="2"/>
      <c r="J867" s="6"/>
      <c r="BL867" s="3"/>
      <c r="BM867" s="3"/>
      <c r="BN867" s="3"/>
      <c r="BO867" s="3"/>
    </row>
    <row r="868" ht="15.75" customHeight="1">
      <c r="E868" s="2"/>
      <c r="F868" s="2"/>
      <c r="G868" s="2"/>
      <c r="H868" s="2"/>
      <c r="I868" s="2"/>
      <c r="J868" s="6"/>
      <c r="BL868" s="3"/>
      <c r="BM868" s="3"/>
      <c r="BN868" s="3"/>
      <c r="BO868" s="3"/>
    </row>
    <row r="869" ht="15.75" customHeight="1">
      <c r="E869" s="2"/>
      <c r="F869" s="2"/>
      <c r="G869" s="2"/>
      <c r="H869" s="2"/>
      <c r="I869" s="2"/>
      <c r="J869" s="6"/>
      <c r="BL869" s="3"/>
      <c r="BM869" s="3"/>
      <c r="BN869" s="3"/>
      <c r="BO869" s="3"/>
    </row>
    <row r="870" ht="15.75" customHeight="1">
      <c r="E870" s="2"/>
      <c r="F870" s="2"/>
      <c r="G870" s="2"/>
      <c r="H870" s="2"/>
      <c r="I870" s="2"/>
      <c r="J870" s="6"/>
      <c r="BL870" s="3"/>
      <c r="BM870" s="3"/>
      <c r="BN870" s="3"/>
      <c r="BO870" s="3"/>
    </row>
    <row r="871" ht="15.75" customHeight="1">
      <c r="E871" s="2"/>
      <c r="F871" s="2"/>
      <c r="G871" s="2"/>
      <c r="H871" s="2"/>
      <c r="I871" s="2"/>
      <c r="J871" s="6"/>
      <c r="BL871" s="3"/>
      <c r="BM871" s="3"/>
      <c r="BN871" s="3"/>
      <c r="BO871" s="3"/>
    </row>
    <row r="872" ht="15.75" customHeight="1">
      <c r="E872" s="2"/>
      <c r="F872" s="2"/>
      <c r="G872" s="2"/>
      <c r="H872" s="2"/>
      <c r="I872" s="2"/>
      <c r="J872" s="6"/>
      <c r="BL872" s="3"/>
      <c r="BM872" s="3"/>
      <c r="BN872" s="3"/>
      <c r="BO872" s="3"/>
    </row>
    <row r="873" ht="15.75" customHeight="1">
      <c r="E873" s="2"/>
      <c r="F873" s="2"/>
      <c r="G873" s="2"/>
      <c r="H873" s="2"/>
      <c r="I873" s="2"/>
      <c r="J873" s="6"/>
      <c r="BL873" s="3"/>
      <c r="BM873" s="3"/>
      <c r="BN873" s="3"/>
      <c r="BO873" s="3"/>
    </row>
    <row r="874" ht="15.75" customHeight="1">
      <c r="E874" s="2"/>
      <c r="F874" s="2"/>
      <c r="G874" s="2"/>
      <c r="H874" s="2"/>
      <c r="I874" s="2"/>
      <c r="J874" s="6"/>
      <c r="BL874" s="3"/>
      <c r="BM874" s="3"/>
      <c r="BN874" s="3"/>
      <c r="BO874" s="3"/>
    </row>
    <row r="875" ht="15.75" customHeight="1">
      <c r="E875" s="2"/>
      <c r="F875" s="2"/>
      <c r="G875" s="2"/>
      <c r="H875" s="2"/>
      <c r="I875" s="2"/>
      <c r="J875" s="6"/>
      <c r="BL875" s="3"/>
      <c r="BM875" s="3"/>
      <c r="BN875" s="3"/>
      <c r="BO875" s="3"/>
    </row>
    <row r="876" ht="15.75" customHeight="1">
      <c r="E876" s="2"/>
      <c r="F876" s="2"/>
      <c r="G876" s="2"/>
      <c r="H876" s="2"/>
      <c r="I876" s="2"/>
      <c r="J876" s="6"/>
      <c r="BL876" s="3"/>
      <c r="BM876" s="3"/>
      <c r="BN876" s="3"/>
      <c r="BO876" s="3"/>
    </row>
    <row r="877" ht="15.75" customHeight="1">
      <c r="E877" s="2"/>
      <c r="F877" s="2"/>
      <c r="G877" s="2"/>
      <c r="H877" s="2"/>
      <c r="I877" s="2"/>
      <c r="J877" s="6"/>
      <c r="BL877" s="3"/>
      <c r="BM877" s="3"/>
      <c r="BN877" s="3"/>
      <c r="BO877" s="3"/>
    </row>
    <row r="878" ht="15.75" customHeight="1">
      <c r="E878" s="2"/>
      <c r="F878" s="2"/>
      <c r="G878" s="2"/>
      <c r="H878" s="2"/>
      <c r="I878" s="2"/>
      <c r="J878" s="6"/>
      <c r="BL878" s="3"/>
      <c r="BM878" s="3"/>
      <c r="BN878" s="3"/>
      <c r="BO878" s="3"/>
    </row>
    <row r="879" ht="15.75" customHeight="1">
      <c r="E879" s="2"/>
      <c r="F879" s="2"/>
      <c r="G879" s="2"/>
      <c r="H879" s="2"/>
      <c r="I879" s="2"/>
      <c r="J879" s="6"/>
      <c r="BL879" s="3"/>
      <c r="BM879" s="3"/>
      <c r="BN879" s="3"/>
      <c r="BO879" s="3"/>
    </row>
    <row r="880" ht="15.75" customHeight="1">
      <c r="E880" s="2"/>
      <c r="F880" s="2"/>
      <c r="G880" s="2"/>
      <c r="H880" s="2"/>
      <c r="I880" s="2"/>
      <c r="J880" s="6"/>
      <c r="BL880" s="3"/>
      <c r="BM880" s="3"/>
      <c r="BN880" s="3"/>
      <c r="BO880" s="3"/>
    </row>
    <row r="881" ht="15.75" customHeight="1">
      <c r="E881" s="2"/>
      <c r="F881" s="2"/>
      <c r="G881" s="2"/>
      <c r="H881" s="2"/>
      <c r="I881" s="2"/>
      <c r="J881" s="6"/>
      <c r="BL881" s="3"/>
      <c r="BM881" s="3"/>
      <c r="BN881" s="3"/>
      <c r="BO881" s="3"/>
    </row>
    <row r="882" ht="15.75" customHeight="1">
      <c r="E882" s="2"/>
      <c r="F882" s="2"/>
      <c r="G882" s="2"/>
      <c r="H882" s="2"/>
      <c r="I882" s="2"/>
      <c r="J882" s="6"/>
      <c r="BL882" s="3"/>
      <c r="BM882" s="3"/>
      <c r="BN882" s="3"/>
      <c r="BO882" s="3"/>
    </row>
    <row r="883" ht="15.75" customHeight="1">
      <c r="E883" s="2"/>
      <c r="F883" s="2"/>
      <c r="G883" s="2"/>
      <c r="H883" s="2"/>
      <c r="I883" s="2"/>
      <c r="J883" s="6"/>
      <c r="BL883" s="3"/>
      <c r="BM883" s="3"/>
      <c r="BN883" s="3"/>
      <c r="BO883" s="3"/>
    </row>
    <row r="884" ht="15.75" customHeight="1">
      <c r="E884" s="2"/>
      <c r="F884" s="2"/>
      <c r="G884" s="2"/>
      <c r="H884" s="2"/>
      <c r="I884" s="2"/>
      <c r="J884" s="6"/>
      <c r="BL884" s="3"/>
      <c r="BM884" s="3"/>
      <c r="BN884" s="3"/>
      <c r="BO884" s="3"/>
    </row>
    <row r="885" ht="15.75" customHeight="1">
      <c r="E885" s="2"/>
      <c r="F885" s="2"/>
      <c r="G885" s="2"/>
      <c r="H885" s="2"/>
      <c r="I885" s="2"/>
      <c r="J885" s="6"/>
      <c r="BL885" s="3"/>
      <c r="BM885" s="3"/>
      <c r="BN885" s="3"/>
      <c r="BO885" s="3"/>
    </row>
    <row r="886" ht="15.75" customHeight="1">
      <c r="E886" s="2"/>
      <c r="F886" s="2"/>
      <c r="G886" s="2"/>
      <c r="H886" s="2"/>
      <c r="I886" s="2"/>
      <c r="J886" s="6"/>
      <c r="BL886" s="3"/>
      <c r="BM886" s="3"/>
      <c r="BN886" s="3"/>
      <c r="BO886" s="3"/>
    </row>
    <row r="887" ht="15.75" customHeight="1">
      <c r="E887" s="2"/>
      <c r="F887" s="2"/>
      <c r="G887" s="2"/>
      <c r="H887" s="2"/>
      <c r="I887" s="2"/>
      <c r="J887" s="6"/>
      <c r="BL887" s="3"/>
      <c r="BM887" s="3"/>
      <c r="BN887" s="3"/>
      <c r="BO887" s="3"/>
    </row>
    <row r="888" ht="15.75" customHeight="1">
      <c r="E888" s="2"/>
      <c r="F888" s="2"/>
      <c r="G888" s="2"/>
      <c r="H888" s="2"/>
      <c r="I888" s="2"/>
      <c r="J888" s="6"/>
      <c r="BL888" s="3"/>
      <c r="BM888" s="3"/>
      <c r="BN888" s="3"/>
      <c r="BO888" s="3"/>
    </row>
    <row r="889" ht="15.75" customHeight="1">
      <c r="E889" s="2"/>
      <c r="F889" s="2"/>
      <c r="G889" s="2"/>
      <c r="H889" s="2"/>
      <c r="I889" s="2"/>
      <c r="J889" s="6"/>
      <c r="BL889" s="3"/>
      <c r="BM889" s="3"/>
      <c r="BN889" s="3"/>
      <c r="BO889" s="3"/>
    </row>
    <row r="890" ht="15.75" customHeight="1">
      <c r="E890" s="2"/>
      <c r="F890" s="2"/>
      <c r="G890" s="2"/>
      <c r="H890" s="2"/>
      <c r="I890" s="2"/>
      <c r="J890" s="6"/>
      <c r="BL890" s="3"/>
      <c r="BM890" s="3"/>
      <c r="BN890" s="3"/>
      <c r="BO890" s="3"/>
    </row>
    <row r="891" ht="15.75" customHeight="1">
      <c r="E891" s="2"/>
      <c r="F891" s="2"/>
      <c r="G891" s="2"/>
      <c r="H891" s="2"/>
      <c r="I891" s="2"/>
      <c r="J891" s="6"/>
      <c r="BL891" s="3"/>
      <c r="BM891" s="3"/>
      <c r="BN891" s="3"/>
      <c r="BO891" s="3"/>
    </row>
    <row r="892" ht="15.75" customHeight="1">
      <c r="E892" s="2"/>
      <c r="F892" s="2"/>
      <c r="G892" s="2"/>
      <c r="H892" s="2"/>
      <c r="I892" s="2"/>
      <c r="J892" s="6"/>
      <c r="BL892" s="3"/>
      <c r="BM892" s="3"/>
      <c r="BN892" s="3"/>
      <c r="BO892" s="3"/>
    </row>
    <row r="893" ht="15.75" customHeight="1">
      <c r="E893" s="2"/>
      <c r="F893" s="2"/>
      <c r="G893" s="2"/>
      <c r="H893" s="2"/>
      <c r="I893" s="2"/>
      <c r="J893" s="6"/>
      <c r="BL893" s="3"/>
      <c r="BM893" s="3"/>
      <c r="BN893" s="3"/>
      <c r="BO893" s="3"/>
    </row>
    <row r="894" ht="15.75" customHeight="1">
      <c r="E894" s="2"/>
      <c r="F894" s="2"/>
      <c r="G894" s="2"/>
      <c r="H894" s="2"/>
      <c r="I894" s="2"/>
      <c r="J894" s="6"/>
      <c r="BL894" s="3"/>
      <c r="BM894" s="3"/>
      <c r="BN894" s="3"/>
      <c r="BO894" s="3"/>
    </row>
    <row r="895" ht="15.75" customHeight="1">
      <c r="E895" s="2"/>
      <c r="F895" s="2"/>
      <c r="G895" s="2"/>
      <c r="H895" s="2"/>
      <c r="I895" s="2"/>
      <c r="J895" s="6"/>
      <c r="BL895" s="3"/>
      <c r="BM895" s="3"/>
      <c r="BN895" s="3"/>
      <c r="BO895" s="3"/>
    </row>
    <row r="896" ht="15.75" customHeight="1">
      <c r="E896" s="2"/>
      <c r="F896" s="2"/>
      <c r="G896" s="2"/>
      <c r="H896" s="2"/>
      <c r="I896" s="2"/>
      <c r="J896" s="6"/>
      <c r="BL896" s="3"/>
      <c r="BM896" s="3"/>
      <c r="BN896" s="3"/>
      <c r="BO896" s="3"/>
    </row>
    <row r="897" ht="15.75" customHeight="1">
      <c r="E897" s="2"/>
      <c r="F897" s="2"/>
      <c r="G897" s="2"/>
      <c r="H897" s="2"/>
      <c r="I897" s="2"/>
      <c r="J897" s="6"/>
      <c r="BL897" s="3"/>
      <c r="BM897" s="3"/>
      <c r="BN897" s="3"/>
      <c r="BO897" s="3"/>
    </row>
    <row r="898" ht="15.75" customHeight="1">
      <c r="E898" s="2"/>
      <c r="F898" s="2"/>
      <c r="G898" s="2"/>
      <c r="H898" s="2"/>
      <c r="I898" s="2"/>
      <c r="J898" s="6"/>
      <c r="BL898" s="3"/>
      <c r="BM898" s="3"/>
      <c r="BN898" s="3"/>
      <c r="BO898" s="3"/>
    </row>
    <row r="899" ht="15.75" customHeight="1">
      <c r="E899" s="2"/>
      <c r="F899" s="2"/>
      <c r="G899" s="2"/>
      <c r="H899" s="2"/>
      <c r="I899" s="2"/>
      <c r="J899" s="6"/>
      <c r="BL899" s="3"/>
      <c r="BM899" s="3"/>
      <c r="BN899" s="3"/>
      <c r="BO899" s="3"/>
    </row>
    <row r="900" ht="15.75" customHeight="1">
      <c r="E900" s="2"/>
      <c r="F900" s="2"/>
      <c r="G900" s="2"/>
      <c r="H900" s="2"/>
      <c r="I900" s="2"/>
      <c r="J900" s="6"/>
      <c r="BL900" s="3"/>
      <c r="BM900" s="3"/>
      <c r="BN900" s="3"/>
      <c r="BO900" s="3"/>
    </row>
    <row r="901" ht="15.75" customHeight="1">
      <c r="E901" s="2"/>
      <c r="F901" s="2"/>
      <c r="G901" s="2"/>
      <c r="H901" s="2"/>
      <c r="I901" s="2"/>
      <c r="J901" s="6"/>
      <c r="BL901" s="3"/>
      <c r="BM901" s="3"/>
      <c r="BN901" s="3"/>
      <c r="BO901" s="3"/>
    </row>
    <row r="902" ht="15.75" customHeight="1">
      <c r="E902" s="2"/>
      <c r="F902" s="2"/>
      <c r="G902" s="2"/>
      <c r="H902" s="2"/>
      <c r="I902" s="2"/>
      <c r="J902" s="6"/>
      <c r="BL902" s="3"/>
      <c r="BM902" s="3"/>
      <c r="BN902" s="3"/>
      <c r="BO902" s="3"/>
    </row>
    <row r="903" ht="15.75" customHeight="1">
      <c r="E903" s="2"/>
      <c r="F903" s="2"/>
      <c r="G903" s="2"/>
      <c r="H903" s="2"/>
      <c r="I903" s="2"/>
      <c r="J903" s="6"/>
      <c r="BL903" s="3"/>
      <c r="BM903" s="3"/>
      <c r="BN903" s="3"/>
      <c r="BO903" s="3"/>
    </row>
    <row r="904" ht="15.75" customHeight="1">
      <c r="E904" s="2"/>
      <c r="F904" s="2"/>
      <c r="G904" s="2"/>
      <c r="H904" s="2"/>
      <c r="I904" s="2"/>
      <c r="J904" s="6"/>
      <c r="BL904" s="3"/>
      <c r="BM904" s="3"/>
      <c r="BN904" s="3"/>
      <c r="BO904" s="3"/>
    </row>
    <row r="905" ht="15.75" customHeight="1">
      <c r="E905" s="2"/>
      <c r="F905" s="2"/>
      <c r="G905" s="2"/>
      <c r="H905" s="2"/>
      <c r="I905" s="2"/>
      <c r="J905" s="6"/>
      <c r="BL905" s="3"/>
      <c r="BM905" s="3"/>
      <c r="BN905" s="3"/>
      <c r="BO905" s="3"/>
    </row>
    <row r="906" ht="15.75" customHeight="1">
      <c r="E906" s="2"/>
      <c r="F906" s="2"/>
      <c r="G906" s="2"/>
      <c r="H906" s="2"/>
      <c r="I906" s="2"/>
      <c r="J906" s="6"/>
      <c r="BL906" s="3"/>
      <c r="BM906" s="3"/>
      <c r="BN906" s="3"/>
      <c r="BO906" s="3"/>
    </row>
    <row r="907" ht="15.75" customHeight="1">
      <c r="E907" s="2"/>
      <c r="F907" s="2"/>
      <c r="G907" s="2"/>
      <c r="H907" s="2"/>
      <c r="I907" s="2"/>
      <c r="J907" s="6"/>
      <c r="BL907" s="3"/>
      <c r="BM907" s="3"/>
      <c r="BN907" s="3"/>
      <c r="BO907" s="3"/>
    </row>
    <row r="908" ht="15.75" customHeight="1">
      <c r="E908" s="2"/>
      <c r="F908" s="2"/>
      <c r="G908" s="2"/>
      <c r="H908" s="2"/>
      <c r="I908" s="2"/>
      <c r="J908" s="6"/>
      <c r="BL908" s="3"/>
      <c r="BM908" s="3"/>
      <c r="BN908" s="3"/>
      <c r="BO908" s="3"/>
    </row>
    <row r="909" ht="15.75" customHeight="1">
      <c r="E909" s="2"/>
      <c r="F909" s="2"/>
      <c r="G909" s="2"/>
      <c r="H909" s="2"/>
      <c r="I909" s="2"/>
      <c r="J909" s="6"/>
      <c r="BL909" s="3"/>
      <c r="BM909" s="3"/>
      <c r="BN909" s="3"/>
      <c r="BO909" s="3"/>
    </row>
    <row r="910" ht="15.75" customHeight="1">
      <c r="E910" s="2"/>
      <c r="F910" s="2"/>
      <c r="G910" s="2"/>
      <c r="H910" s="2"/>
      <c r="I910" s="2"/>
      <c r="J910" s="6"/>
      <c r="BL910" s="3"/>
      <c r="BM910" s="3"/>
      <c r="BN910" s="3"/>
      <c r="BO910" s="3"/>
    </row>
    <row r="911" ht="15.75" customHeight="1">
      <c r="E911" s="2"/>
      <c r="F911" s="2"/>
      <c r="G911" s="2"/>
      <c r="H911" s="2"/>
      <c r="I911" s="2"/>
      <c r="J911" s="6"/>
      <c r="BL911" s="3"/>
      <c r="BM911" s="3"/>
      <c r="BN911" s="3"/>
      <c r="BO911" s="3"/>
    </row>
    <row r="912" ht="15.75" customHeight="1">
      <c r="E912" s="2"/>
      <c r="F912" s="2"/>
      <c r="G912" s="2"/>
      <c r="H912" s="2"/>
      <c r="I912" s="2"/>
      <c r="J912" s="6"/>
      <c r="BL912" s="3"/>
      <c r="BM912" s="3"/>
      <c r="BN912" s="3"/>
      <c r="BO912" s="3"/>
    </row>
    <row r="913" ht="15.75" customHeight="1">
      <c r="E913" s="2"/>
      <c r="F913" s="2"/>
      <c r="G913" s="2"/>
      <c r="H913" s="2"/>
      <c r="I913" s="2"/>
      <c r="J913" s="6"/>
      <c r="BL913" s="3"/>
      <c r="BM913" s="3"/>
      <c r="BN913" s="3"/>
      <c r="BO913" s="3"/>
    </row>
    <row r="914" ht="15.75" customHeight="1">
      <c r="E914" s="2"/>
      <c r="F914" s="2"/>
      <c r="G914" s="2"/>
      <c r="H914" s="2"/>
      <c r="I914" s="2"/>
      <c r="J914" s="6"/>
      <c r="BL914" s="3"/>
      <c r="BM914" s="3"/>
      <c r="BN914" s="3"/>
      <c r="BO914" s="3"/>
    </row>
    <row r="915" ht="15.75" customHeight="1">
      <c r="E915" s="2"/>
      <c r="F915" s="2"/>
      <c r="G915" s="2"/>
      <c r="H915" s="2"/>
      <c r="I915" s="2"/>
      <c r="J915" s="6"/>
      <c r="BL915" s="3"/>
      <c r="BM915" s="3"/>
      <c r="BN915" s="3"/>
      <c r="BO915" s="3"/>
    </row>
    <row r="916" ht="15.75" customHeight="1">
      <c r="E916" s="2"/>
      <c r="F916" s="2"/>
      <c r="G916" s="2"/>
      <c r="H916" s="2"/>
      <c r="I916" s="2"/>
      <c r="J916" s="6"/>
      <c r="BL916" s="3"/>
      <c r="BM916" s="3"/>
      <c r="BN916" s="3"/>
      <c r="BO916" s="3"/>
    </row>
    <row r="917" ht="15.75" customHeight="1">
      <c r="E917" s="2"/>
      <c r="F917" s="2"/>
      <c r="G917" s="2"/>
      <c r="H917" s="2"/>
      <c r="I917" s="2"/>
      <c r="J917" s="6"/>
      <c r="BL917" s="3"/>
      <c r="BM917" s="3"/>
      <c r="BN917" s="3"/>
      <c r="BO917" s="3"/>
    </row>
    <row r="918" ht="15.75" customHeight="1">
      <c r="E918" s="2"/>
      <c r="F918" s="2"/>
      <c r="G918" s="2"/>
      <c r="H918" s="2"/>
      <c r="I918" s="2"/>
      <c r="J918" s="6"/>
      <c r="BL918" s="3"/>
      <c r="BM918" s="3"/>
      <c r="BN918" s="3"/>
      <c r="BO918" s="3"/>
    </row>
    <row r="919" ht="15.75" customHeight="1">
      <c r="E919" s="2"/>
      <c r="F919" s="2"/>
      <c r="G919" s="2"/>
      <c r="H919" s="2"/>
      <c r="I919" s="2"/>
      <c r="J919" s="6"/>
      <c r="BL919" s="3"/>
      <c r="BM919" s="3"/>
      <c r="BN919" s="3"/>
      <c r="BO919" s="3"/>
    </row>
    <row r="920" ht="15.75" customHeight="1">
      <c r="E920" s="2"/>
      <c r="F920" s="2"/>
      <c r="G920" s="2"/>
      <c r="H920" s="2"/>
      <c r="I920" s="2"/>
      <c r="J920" s="6"/>
      <c r="BL920" s="3"/>
      <c r="BM920" s="3"/>
      <c r="BN920" s="3"/>
      <c r="BO920" s="3"/>
    </row>
    <row r="921" ht="15.75" customHeight="1">
      <c r="E921" s="2"/>
      <c r="F921" s="2"/>
      <c r="G921" s="2"/>
      <c r="H921" s="2"/>
      <c r="I921" s="2"/>
      <c r="J921" s="6"/>
      <c r="BL921" s="3"/>
      <c r="BM921" s="3"/>
      <c r="BN921" s="3"/>
      <c r="BO921" s="3"/>
    </row>
    <row r="922" ht="15.75" customHeight="1">
      <c r="E922" s="2"/>
      <c r="F922" s="2"/>
      <c r="G922" s="2"/>
      <c r="H922" s="2"/>
      <c r="I922" s="2"/>
      <c r="J922" s="6"/>
      <c r="BL922" s="3"/>
      <c r="BM922" s="3"/>
      <c r="BN922" s="3"/>
      <c r="BO922" s="3"/>
    </row>
    <row r="923" ht="15.75" customHeight="1">
      <c r="E923" s="2"/>
      <c r="F923" s="2"/>
      <c r="G923" s="2"/>
      <c r="H923" s="2"/>
      <c r="I923" s="2"/>
      <c r="J923" s="6"/>
      <c r="BL923" s="3"/>
      <c r="BM923" s="3"/>
      <c r="BN923" s="3"/>
      <c r="BO923" s="3"/>
    </row>
    <row r="924" ht="15.75" customHeight="1">
      <c r="E924" s="2"/>
      <c r="F924" s="2"/>
      <c r="G924" s="2"/>
      <c r="H924" s="2"/>
      <c r="I924" s="2"/>
      <c r="J924" s="6"/>
      <c r="BL924" s="3"/>
      <c r="BM924" s="3"/>
      <c r="BN924" s="3"/>
      <c r="BO924" s="3"/>
    </row>
    <row r="925" ht="15.75" customHeight="1">
      <c r="E925" s="2"/>
      <c r="F925" s="2"/>
      <c r="G925" s="2"/>
      <c r="H925" s="2"/>
      <c r="I925" s="2"/>
      <c r="J925" s="6"/>
      <c r="BL925" s="3"/>
      <c r="BM925" s="3"/>
      <c r="BN925" s="3"/>
      <c r="BO925" s="3"/>
    </row>
    <row r="926" ht="15.75" customHeight="1">
      <c r="E926" s="2"/>
      <c r="F926" s="2"/>
      <c r="G926" s="2"/>
      <c r="H926" s="2"/>
      <c r="I926" s="2"/>
      <c r="J926" s="6"/>
      <c r="BL926" s="3"/>
      <c r="BM926" s="3"/>
      <c r="BN926" s="3"/>
      <c r="BO926" s="3"/>
    </row>
    <row r="927" ht="15.75" customHeight="1">
      <c r="E927" s="2"/>
      <c r="F927" s="2"/>
      <c r="G927" s="2"/>
      <c r="H927" s="2"/>
      <c r="I927" s="2"/>
      <c r="J927" s="6"/>
      <c r="BL927" s="3"/>
      <c r="BM927" s="3"/>
      <c r="BN927" s="3"/>
      <c r="BO927" s="3"/>
    </row>
    <row r="928" ht="15.75" customHeight="1">
      <c r="E928" s="2"/>
      <c r="F928" s="2"/>
      <c r="G928" s="2"/>
      <c r="H928" s="2"/>
      <c r="I928" s="2"/>
      <c r="J928" s="6"/>
      <c r="BL928" s="3"/>
      <c r="BM928" s="3"/>
      <c r="BN928" s="3"/>
      <c r="BO928" s="3"/>
    </row>
    <row r="929" ht="15.75" customHeight="1">
      <c r="E929" s="2"/>
      <c r="F929" s="2"/>
      <c r="G929" s="2"/>
      <c r="H929" s="2"/>
      <c r="I929" s="2"/>
      <c r="J929" s="6"/>
      <c r="BL929" s="3"/>
      <c r="BM929" s="3"/>
      <c r="BN929" s="3"/>
      <c r="BO929" s="3"/>
    </row>
    <row r="930" ht="15.75" customHeight="1">
      <c r="E930" s="2"/>
      <c r="F930" s="2"/>
      <c r="G930" s="2"/>
      <c r="H930" s="2"/>
      <c r="I930" s="2"/>
      <c r="J930" s="6"/>
      <c r="BL930" s="3"/>
      <c r="BM930" s="3"/>
      <c r="BN930" s="3"/>
      <c r="BO930" s="3"/>
    </row>
    <row r="931" ht="15.75" customHeight="1">
      <c r="E931" s="2"/>
      <c r="F931" s="2"/>
      <c r="G931" s="2"/>
      <c r="H931" s="2"/>
      <c r="I931" s="2"/>
      <c r="J931" s="6"/>
      <c r="BL931" s="3"/>
      <c r="BM931" s="3"/>
      <c r="BN931" s="3"/>
      <c r="BO931" s="3"/>
    </row>
    <row r="932" ht="15.75" customHeight="1">
      <c r="E932" s="2"/>
      <c r="F932" s="2"/>
      <c r="G932" s="2"/>
      <c r="H932" s="2"/>
      <c r="I932" s="2"/>
      <c r="J932" s="6"/>
      <c r="BL932" s="3"/>
      <c r="BM932" s="3"/>
      <c r="BN932" s="3"/>
      <c r="BO932" s="3"/>
    </row>
    <row r="933" ht="15.75" customHeight="1">
      <c r="E933" s="2"/>
      <c r="F933" s="2"/>
      <c r="G933" s="2"/>
      <c r="H933" s="2"/>
      <c r="I933" s="2"/>
      <c r="J933" s="6"/>
      <c r="BL933" s="3"/>
      <c r="BM933" s="3"/>
      <c r="BN933" s="3"/>
      <c r="BO933" s="3"/>
    </row>
    <row r="934" ht="15.75" customHeight="1">
      <c r="E934" s="2"/>
      <c r="F934" s="2"/>
      <c r="G934" s="2"/>
      <c r="H934" s="2"/>
      <c r="I934" s="2"/>
      <c r="J934" s="6"/>
      <c r="BL934" s="3"/>
      <c r="BM934" s="3"/>
      <c r="BN934" s="3"/>
      <c r="BO934" s="3"/>
    </row>
    <row r="935" ht="15.75" customHeight="1">
      <c r="E935" s="2"/>
      <c r="F935" s="2"/>
      <c r="G935" s="2"/>
      <c r="H935" s="2"/>
      <c r="I935" s="2"/>
      <c r="J935" s="6"/>
      <c r="BL935" s="3"/>
      <c r="BM935" s="3"/>
      <c r="BN935" s="3"/>
      <c r="BO935" s="3"/>
    </row>
    <row r="936" ht="15.75" customHeight="1">
      <c r="E936" s="2"/>
      <c r="F936" s="2"/>
      <c r="G936" s="2"/>
      <c r="H936" s="2"/>
      <c r="I936" s="2"/>
      <c r="J936" s="6"/>
      <c r="BL936" s="3"/>
      <c r="BM936" s="3"/>
      <c r="BN936" s="3"/>
      <c r="BO936" s="3"/>
    </row>
    <row r="937" ht="15.75" customHeight="1">
      <c r="E937" s="2"/>
      <c r="F937" s="2"/>
      <c r="G937" s="2"/>
      <c r="H937" s="2"/>
      <c r="I937" s="2"/>
      <c r="J937" s="6"/>
      <c r="BL937" s="3"/>
      <c r="BM937" s="3"/>
      <c r="BN937" s="3"/>
      <c r="BO937" s="3"/>
    </row>
    <row r="938" ht="15.75" customHeight="1">
      <c r="E938" s="2"/>
      <c r="F938" s="2"/>
      <c r="G938" s="2"/>
      <c r="H938" s="2"/>
      <c r="I938" s="2"/>
      <c r="J938" s="6"/>
      <c r="BL938" s="3"/>
      <c r="BM938" s="3"/>
      <c r="BN938" s="3"/>
      <c r="BO938" s="3"/>
    </row>
    <row r="939" ht="15.75" customHeight="1">
      <c r="E939" s="2"/>
      <c r="F939" s="2"/>
      <c r="G939" s="2"/>
      <c r="H939" s="2"/>
      <c r="I939" s="2"/>
      <c r="J939" s="6"/>
      <c r="BL939" s="3"/>
      <c r="BM939" s="3"/>
      <c r="BN939" s="3"/>
      <c r="BO939" s="3"/>
    </row>
    <row r="940" ht="15.75" customHeight="1">
      <c r="E940" s="2"/>
      <c r="F940" s="2"/>
      <c r="G940" s="2"/>
      <c r="H940" s="2"/>
      <c r="I940" s="2"/>
      <c r="J940" s="6"/>
      <c r="BL940" s="3"/>
      <c r="BM940" s="3"/>
      <c r="BN940" s="3"/>
      <c r="BO940" s="3"/>
    </row>
    <row r="941" ht="15.75" customHeight="1">
      <c r="E941" s="2"/>
      <c r="F941" s="2"/>
      <c r="G941" s="2"/>
      <c r="H941" s="2"/>
      <c r="I941" s="2"/>
      <c r="J941" s="6"/>
      <c r="BL941" s="3"/>
      <c r="BM941" s="3"/>
      <c r="BN941" s="3"/>
      <c r="BO941" s="3"/>
    </row>
    <row r="942" ht="15.75" customHeight="1">
      <c r="E942" s="2"/>
      <c r="F942" s="2"/>
      <c r="G942" s="2"/>
      <c r="H942" s="2"/>
      <c r="I942" s="2"/>
      <c r="J942" s="6"/>
      <c r="BL942" s="3"/>
      <c r="BM942" s="3"/>
      <c r="BN942" s="3"/>
      <c r="BO942" s="3"/>
    </row>
    <row r="943" ht="15.75" customHeight="1">
      <c r="E943" s="2"/>
      <c r="F943" s="2"/>
      <c r="G943" s="2"/>
      <c r="H943" s="2"/>
      <c r="I943" s="2"/>
      <c r="J943" s="6"/>
      <c r="BL943" s="3"/>
      <c r="BM943" s="3"/>
      <c r="BN943" s="3"/>
      <c r="BO943" s="3"/>
    </row>
    <row r="944" ht="15.75" customHeight="1">
      <c r="E944" s="2"/>
      <c r="F944" s="2"/>
      <c r="G944" s="2"/>
      <c r="H944" s="2"/>
      <c r="I944" s="2"/>
      <c r="J944" s="6"/>
      <c r="BL944" s="3"/>
      <c r="BM944" s="3"/>
      <c r="BN944" s="3"/>
      <c r="BO944" s="3"/>
    </row>
    <row r="945" ht="15.75" customHeight="1">
      <c r="E945" s="2"/>
      <c r="F945" s="2"/>
      <c r="G945" s="2"/>
      <c r="H945" s="2"/>
      <c r="I945" s="2"/>
      <c r="J945" s="6"/>
      <c r="BL945" s="3"/>
      <c r="BM945" s="3"/>
      <c r="BN945" s="3"/>
      <c r="BO945" s="3"/>
    </row>
    <row r="946" ht="15.75" customHeight="1">
      <c r="E946" s="2"/>
      <c r="F946" s="2"/>
      <c r="G946" s="2"/>
      <c r="H946" s="2"/>
      <c r="I946" s="2"/>
      <c r="J946" s="6"/>
      <c r="BL946" s="3"/>
      <c r="BM946" s="3"/>
      <c r="BN946" s="3"/>
      <c r="BO946" s="3"/>
    </row>
    <row r="947" ht="15.75" customHeight="1">
      <c r="E947" s="2"/>
      <c r="F947" s="2"/>
      <c r="G947" s="2"/>
      <c r="H947" s="2"/>
      <c r="I947" s="2"/>
      <c r="J947" s="6"/>
      <c r="BL947" s="3"/>
      <c r="BM947" s="3"/>
      <c r="BN947" s="3"/>
      <c r="BO947" s="3"/>
    </row>
    <row r="948" ht="15.75" customHeight="1">
      <c r="E948" s="2"/>
      <c r="F948" s="2"/>
      <c r="G948" s="2"/>
      <c r="H948" s="2"/>
      <c r="I948" s="2"/>
      <c r="J948" s="6"/>
      <c r="BL948" s="3"/>
      <c r="BM948" s="3"/>
      <c r="BN948" s="3"/>
      <c r="BO948" s="3"/>
    </row>
    <row r="949" ht="15.75" customHeight="1">
      <c r="E949" s="2"/>
      <c r="F949" s="2"/>
      <c r="G949" s="2"/>
      <c r="H949" s="2"/>
      <c r="I949" s="2"/>
      <c r="J949" s="6"/>
      <c r="BL949" s="3"/>
      <c r="BM949" s="3"/>
      <c r="BN949" s="3"/>
      <c r="BO949" s="3"/>
    </row>
    <row r="950" ht="15.75" customHeight="1">
      <c r="E950" s="2"/>
      <c r="F950" s="2"/>
      <c r="G950" s="2"/>
      <c r="H950" s="2"/>
      <c r="I950" s="2"/>
      <c r="J950" s="6"/>
      <c r="BL950" s="3"/>
      <c r="BM950" s="3"/>
      <c r="BN950" s="3"/>
      <c r="BO950" s="3"/>
    </row>
    <row r="951" ht="15.75" customHeight="1">
      <c r="E951" s="2"/>
      <c r="F951" s="2"/>
      <c r="G951" s="2"/>
      <c r="H951" s="2"/>
      <c r="I951" s="2"/>
      <c r="J951" s="6"/>
      <c r="BL951" s="3"/>
      <c r="BM951" s="3"/>
      <c r="BN951" s="3"/>
      <c r="BO951" s="3"/>
    </row>
    <row r="952" ht="15.75" customHeight="1">
      <c r="E952" s="2"/>
      <c r="F952" s="2"/>
      <c r="G952" s="2"/>
      <c r="H952" s="2"/>
      <c r="I952" s="2"/>
      <c r="J952" s="6"/>
      <c r="BL952" s="3"/>
      <c r="BM952" s="3"/>
      <c r="BN952" s="3"/>
      <c r="BO952" s="3"/>
    </row>
    <row r="953" ht="15.75" customHeight="1">
      <c r="E953" s="2"/>
      <c r="F953" s="2"/>
      <c r="G953" s="2"/>
      <c r="H953" s="2"/>
      <c r="I953" s="2"/>
      <c r="J953" s="6"/>
      <c r="BL953" s="3"/>
      <c r="BM953" s="3"/>
      <c r="BN953" s="3"/>
      <c r="BO953" s="3"/>
    </row>
    <row r="954" ht="15.75" customHeight="1">
      <c r="E954" s="2"/>
      <c r="F954" s="2"/>
      <c r="G954" s="2"/>
      <c r="H954" s="2"/>
      <c r="I954" s="2"/>
      <c r="J954" s="6"/>
      <c r="BL954" s="3"/>
      <c r="BM954" s="3"/>
      <c r="BN954" s="3"/>
      <c r="BO954" s="3"/>
    </row>
    <row r="955" ht="15.75" customHeight="1">
      <c r="E955" s="2"/>
      <c r="F955" s="2"/>
      <c r="G955" s="2"/>
      <c r="H955" s="2"/>
      <c r="I955" s="2"/>
      <c r="J955" s="6"/>
      <c r="BL955" s="3"/>
      <c r="BM955" s="3"/>
      <c r="BN955" s="3"/>
      <c r="BO955" s="3"/>
    </row>
    <row r="956" ht="15.75" customHeight="1">
      <c r="E956" s="2"/>
      <c r="F956" s="2"/>
      <c r="G956" s="2"/>
      <c r="H956" s="2"/>
      <c r="I956" s="2"/>
      <c r="J956" s="6"/>
      <c r="BL956" s="3"/>
      <c r="BM956" s="3"/>
      <c r="BN956" s="3"/>
      <c r="BO956" s="3"/>
    </row>
    <row r="957" ht="15.75" customHeight="1">
      <c r="E957" s="2"/>
      <c r="F957" s="2"/>
      <c r="G957" s="2"/>
      <c r="H957" s="2"/>
      <c r="I957" s="2"/>
      <c r="J957" s="6"/>
      <c r="BL957" s="3"/>
      <c r="BM957" s="3"/>
      <c r="BN957" s="3"/>
      <c r="BO957" s="3"/>
    </row>
    <row r="958" ht="15.75" customHeight="1">
      <c r="E958" s="2"/>
      <c r="F958" s="2"/>
      <c r="G958" s="2"/>
      <c r="H958" s="2"/>
      <c r="I958" s="2"/>
      <c r="J958" s="6"/>
      <c r="BL958" s="3"/>
      <c r="BM958" s="3"/>
      <c r="BN958" s="3"/>
      <c r="BO958" s="3"/>
    </row>
    <row r="959" ht="15.75" customHeight="1">
      <c r="E959" s="2"/>
      <c r="F959" s="2"/>
      <c r="G959" s="2"/>
      <c r="H959" s="2"/>
      <c r="I959" s="2"/>
      <c r="J959" s="6"/>
      <c r="BL959" s="3"/>
      <c r="BM959" s="3"/>
      <c r="BN959" s="3"/>
      <c r="BO959" s="3"/>
    </row>
    <row r="960" ht="15.75" customHeight="1">
      <c r="E960" s="2"/>
      <c r="F960" s="2"/>
      <c r="G960" s="2"/>
      <c r="H960" s="2"/>
      <c r="I960" s="2"/>
      <c r="J960" s="6"/>
      <c r="BL960" s="3"/>
      <c r="BM960" s="3"/>
      <c r="BN960" s="3"/>
      <c r="BO960" s="3"/>
    </row>
    <row r="961" ht="15.75" customHeight="1">
      <c r="E961" s="2"/>
      <c r="F961" s="2"/>
      <c r="G961" s="2"/>
      <c r="H961" s="2"/>
      <c r="I961" s="2"/>
      <c r="J961" s="6"/>
      <c r="BL961" s="3"/>
      <c r="BM961" s="3"/>
      <c r="BN961" s="3"/>
      <c r="BO961" s="3"/>
    </row>
    <row r="962" ht="15.75" customHeight="1">
      <c r="E962" s="2"/>
      <c r="F962" s="2"/>
      <c r="G962" s="2"/>
      <c r="H962" s="2"/>
      <c r="I962" s="2"/>
      <c r="J962" s="6"/>
      <c r="BL962" s="3"/>
      <c r="BM962" s="3"/>
      <c r="BN962" s="3"/>
      <c r="BO962" s="3"/>
    </row>
    <row r="963" ht="15.75" customHeight="1">
      <c r="E963" s="2"/>
      <c r="F963" s="2"/>
      <c r="G963" s="2"/>
      <c r="H963" s="2"/>
      <c r="I963" s="2"/>
      <c r="J963" s="6"/>
      <c r="BL963" s="3"/>
      <c r="BM963" s="3"/>
      <c r="BN963" s="3"/>
      <c r="BO963" s="3"/>
    </row>
    <row r="964" ht="15.75" customHeight="1">
      <c r="E964" s="2"/>
      <c r="F964" s="2"/>
      <c r="G964" s="2"/>
      <c r="H964" s="2"/>
      <c r="I964" s="2"/>
      <c r="J964" s="6"/>
      <c r="BL964" s="3"/>
      <c r="BM964" s="3"/>
      <c r="BN964" s="3"/>
      <c r="BO964" s="3"/>
    </row>
    <row r="965" ht="15.75" customHeight="1">
      <c r="E965" s="2"/>
      <c r="F965" s="2"/>
      <c r="G965" s="2"/>
      <c r="H965" s="2"/>
      <c r="I965" s="2"/>
      <c r="J965" s="6"/>
      <c r="BL965" s="3"/>
      <c r="BM965" s="3"/>
      <c r="BN965" s="3"/>
      <c r="BO965" s="3"/>
    </row>
    <row r="966" ht="15.75" customHeight="1">
      <c r="E966" s="2"/>
      <c r="F966" s="2"/>
      <c r="G966" s="2"/>
      <c r="H966" s="2"/>
      <c r="I966" s="2"/>
      <c r="J966" s="6"/>
      <c r="BL966" s="3"/>
      <c r="BM966" s="3"/>
      <c r="BN966" s="3"/>
      <c r="BO966" s="3"/>
    </row>
    <row r="967" ht="15.75" customHeight="1">
      <c r="E967" s="2"/>
      <c r="F967" s="2"/>
      <c r="G967" s="2"/>
      <c r="H967" s="2"/>
      <c r="I967" s="2"/>
      <c r="J967" s="6"/>
      <c r="BL967" s="3"/>
      <c r="BM967" s="3"/>
      <c r="BN967" s="3"/>
      <c r="BO967" s="3"/>
    </row>
    <row r="968" ht="15.75" customHeight="1">
      <c r="E968" s="2"/>
      <c r="F968" s="2"/>
      <c r="G968" s="2"/>
      <c r="H968" s="2"/>
      <c r="I968" s="2"/>
      <c r="J968" s="6"/>
      <c r="BL968" s="3"/>
      <c r="BM968" s="3"/>
      <c r="BN968" s="3"/>
      <c r="BO968" s="3"/>
    </row>
    <row r="969" ht="15.75" customHeight="1">
      <c r="E969" s="2"/>
      <c r="F969" s="2"/>
      <c r="G969" s="2"/>
      <c r="H969" s="2"/>
      <c r="I969" s="2"/>
      <c r="J969" s="6"/>
      <c r="BL969" s="3"/>
      <c r="BM969" s="3"/>
      <c r="BN969" s="3"/>
      <c r="BO969" s="3"/>
    </row>
    <row r="970" ht="15.75" customHeight="1">
      <c r="E970" s="2"/>
      <c r="F970" s="2"/>
      <c r="G970" s="2"/>
      <c r="H970" s="2"/>
      <c r="I970" s="2"/>
      <c r="J970" s="6"/>
      <c r="BL970" s="3"/>
      <c r="BM970" s="3"/>
      <c r="BN970" s="3"/>
      <c r="BO970" s="3"/>
    </row>
    <row r="971" ht="15.75" customHeight="1">
      <c r="E971" s="2"/>
      <c r="F971" s="2"/>
      <c r="G971" s="2"/>
      <c r="H971" s="2"/>
      <c r="I971" s="2"/>
      <c r="J971" s="6"/>
      <c r="BL971" s="3"/>
      <c r="BM971" s="3"/>
      <c r="BN971" s="3"/>
      <c r="BO971" s="3"/>
    </row>
    <row r="972" ht="15.75" customHeight="1">
      <c r="E972" s="2"/>
      <c r="F972" s="2"/>
      <c r="G972" s="2"/>
      <c r="H972" s="2"/>
      <c r="I972" s="2"/>
      <c r="J972" s="6"/>
      <c r="BL972" s="3"/>
      <c r="BM972" s="3"/>
      <c r="BN972" s="3"/>
      <c r="BO972" s="3"/>
    </row>
    <row r="973" ht="15.75" customHeight="1">
      <c r="E973" s="2"/>
      <c r="F973" s="2"/>
      <c r="G973" s="2"/>
      <c r="H973" s="2"/>
      <c r="I973" s="2"/>
      <c r="J973" s="6"/>
      <c r="BL973" s="3"/>
      <c r="BM973" s="3"/>
      <c r="BN973" s="3"/>
      <c r="BO973" s="3"/>
    </row>
    <row r="974" ht="15.75" customHeight="1">
      <c r="E974" s="2"/>
      <c r="F974" s="2"/>
      <c r="G974" s="2"/>
      <c r="H974" s="2"/>
      <c r="I974" s="2"/>
      <c r="J974" s="6"/>
      <c r="BL974" s="3"/>
      <c r="BM974" s="3"/>
      <c r="BN974" s="3"/>
      <c r="BO974" s="3"/>
    </row>
    <row r="975" ht="15.75" customHeight="1">
      <c r="E975" s="2"/>
      <c r="F975" s="2"/>
      <c r="G975" s="2"/>
      <c r="H975" s="2"/>
      <c r="I975" s="2"/>
      <c r="J975" s="6"/>
      <c r="BL975" s="3"/>
      <c r="BM975" s="3"/>
      <c r="BN975" s="3"/>
      <c r="BO975" s="3"/>
    </row>
    <row r="976" ht="15.75" customHeight="1">
      <c r="E976" s="2"/>
      <c r="F976" s="2"/>
      <c r="G976" s="2"/>
      <c r="H976" s="2"/>
      <c r="I976" s="2"/>
      <c r="J976" s="6"/>
      <c r="BL976" s="3"/>
      <c r="BM976" s="3"/>
      <c r="BN976" s="3"/>
      <c r="BO976" s="3"/>
    </row>
    <row r="977" ht="15.75" customHeight="1">
      <c r="E977" s="2"/>
      <c r="F977" s="2"/>
      <c r="G977" s="2"/>
      <c r="H977" s="2"/>
      <c r="I977" s="2"/>
      <c r="J977" s="6"/>
      <c r="BL977" s="3"/>
      <c r="BM977" s="3"/>
      <c r="BN977" s="3"/>
      <c r="BO977" s="3"/>
    </row>
    <row r="978" ht="15.75" customHeight="1">
      <c r="E978" s="2"/>
      <c r="F978" s="2"/>
      <c r="G978" s="2"/>
      <c r="H978" s="2"/>
      <c r="I978" s="2"/>
      <c r="J978" s="6"/>
      <c r="BL978" s="3"/>
      <c r="BM978" s="3"/>
      <c r="BN978" s="3"/>
      <c r="BO978" s="3"/>
    </row>
    <row r="979" ht="15.75" customHeight="1">
      <c r="E979" s="2"/>
      <c r="F979" s="2"/>
      <c r="G979" s="2"/>
      <c r="H979" s="2"/>
      <c r="I979" s="2"/>
      <c r="J979" s="6"/>
      <c r="BL979" s="3"/>
      <c r="BM979" s="3"/>
      <c r="BN979" s="3"/>
      <c r="BO979" s="3"/>
    </row>
    <row r="980" ht="15.75" customHeight="1">
      <c r="E980" s="2"/>
      <c r="F980" s="2"/>
      <c r="G980" s="2"/>
      <c r="H980" s="2"/>
      <c r="I980" s="2"/>
      <c r="J980" s="6"/>
      <c r="BL980" s="3"/>
      <c r="BM980" s="3"/>
      <c r="BN980" s="3"/>
      <c r="BO980" s="3"/>
    </row>
    <row r="981" ht="15.75" customHeight="1">
      <c r="E981" s="2"/>
      <c r="F981" s="2"/>
      <c r="G981" s="2"/>
      <c r="H981" s="2"/>
      <c r="I981" s="2"/>
      <c r="J981" s="6"/>
      <c r="BL981" s="3"/>
      <c r="BM981" s="3"/>
      <c r="BN981" s="3"/>
      <c r="BO981" s="3"/>
    </row>
    <row r="982" ht="15.75" customHeight="1">
      <c r="E982" s="2"/>
      <c r="F982" s="2"/>
      <c r="G982" s="2"/>
      <c r="H982" s="2"/>
      <c r="I982" s="2"/>
      <c r="J982" s="6"/>
      <c r="BL982" s="3"/>
      <c r="BM982" s="3"/>
      <c r="BN982" s="3"/>
      <c r="BO982" s="3"/>
    </row>
    <row r="983" ht="15.75" customHeight="1">
      <c r="E983" s="2"/>
      <c r="F983" s="2"/>
      <c r="G983" s="2"/>
      <c r="H983" s="2"/>
      <c r="I983" s="2"/>
      <c r="J983" s="6"/>
      <c r="BL983" s="3"/>
      <c r="BM983" s="3"/>
      <c r="BN983" s="3"/>
      <c r="BO983" s="3"/>
    </row>
    <row r="984" ht="15.75" customHeight="1">
      <c r="E984" s="2"/>
      <c r="F984" s="2"/>
      <c r="G984" s="2"/>
      <c r="H984" s="2"/>
      <c r="I984" s="2"/>
      <c r="J984" s="6"/>
      <c r="BL984" s="3"/>
      <c r="BM984" s="3"/>
      <c r="BN984" s="3"/>
      <c r="BO984" s="3"/>
    </row>
    <row r="985" ht="15.75" customHeight="1">
      <c r="E985" s="2"/>
      <c r="F985" s="2"/>
      <c r="G985" s="2"/>
      <c r="H985" s="2"/>
      <c r="I985" s="2"/>
      <c r="J985" s="6"/>
      <c r="BL985" s="3"/>
      <c r="BM985" s="3"/>
      <c r="BN985" s="3"/>
      <c r="BO985" s="3"/>
    </row>
    <row r="986" ht="15.75" customHeight="1">
      <c r="E986" s="2"/>
      <c r="F986" s="2"/>
      <c r="G986" s="2"/>
      <c r="H986" s="2"/>
      <c r="I986" s="2"/>
      <c r="J986" s="6"/>
      <c r="BL986" s="3"/>
      <c r="BM986" s="3"/>
      <c r="BN986" s="3"/>
      <c r="BO986" s="3"/>
    </row>
    <row r="987" ht="15.75" customHeight="1">
      <c r="E987" s="2"/>
      <c r="F987" s="2"/>
      <c r="G987" s="2"/>
      <c r="H987" s="2"/>
      <c r="I987" s="2"/>
      <c r="J987" s="6"/>
      <c r="BL987" s="3"/>
      <c r="BM987" s="3"/>
      <c r="BN987" s="3"/>
      <c r="BO987" s="3"/>
    </row>
    <row r="988" ht="15.75" customHeight="1">
      <c r="E988" s="2"/>
      <c r="F988" s="2"/>
      <c r="G988" s="2"/>
      <c r="H988" s="2"/>
      <c r="I988" s="2"/>
      <c r="J988" s="6"/>
      <c r="BL988" s="3"/>
      <c r="BM988" s="3"/>
      <c r="BN988" s="3"/>
      <c r="BO988" s="3"/>
    </row>
    <row r="989" ht="15.75" customHeight="1">
      <c r="E989" s="2"/>
      <c r="F989" s="2"/>
      <c r="G989" s="2"/>
      <c r="H989" s="2"/>
      <c r="I989" s="2"/>
      <c r="J989" s="6"/>
      <c r="BL989" s="3"/>
      <c r="BM989" s="3"/>
      <c r="BN989" s="3"/>
      <c r="BO989" s="3"/>
    </row>
    <row r="990" ht="15.75" customHeight="1">
      <c r="E990" s="2"/>
      <c r="F990" s="2"/>
      <c r="G990" s="2"/>
      <c r="H990" s="2"/>
      <c r="I990" s="2"/>
      <c r="J990" s="6"/>
      <c r="BL990" s="3"/>
      <c r="BM990" s="3"/>
      <c r="BN990" s="3"/>
      <c r="BO990" s="3"/>
    </row>
    <row r="991" ht="15.75" customHeight="1">
      <c r="E991" s="2"/>
      <c r="F991" s="2"/>
      <c r="G991" s="2"/>
      <c r="H991" s="2"/>
      <c r="I991" s="2"/>
      <c r="J991" s="6"/>
      <c r="BL991" s="3"/>
      <c r="BM991" s="3"/>
      <c r="BN991" s="3"/>
      <c r="BO991" s="3"/>
    </row>
    <row r="992" ht="15.75" customHeight="1">
      <c r="E992" s="2"/>
      <c r="F992" s="2"/>
      <c r="G992" s="2"/>
      <c r="H992" s="2"/>
      <c r="I992" s="2"/>
      <c r="J992" s="6"/>
      <c r="BL992" s="3"/>
      <c r="BM992" s="3"/>
      <c r="BN992" s="3"/>
      <c r="BO992" s="3"/>
    </row>
    <row r="993" ht="15.75" customHeight="1">
      <c r="E993" s="2"/>
      <c r="F993" s="2"/>
      <c r="G993" s="2"/>
      <c r="H993" s="2"/>
      <c r="I993" s="2"/>
      <c r="J993" s="6"/>
      <c r="BL993" s="3"/>
      <c r="BM993" s="3"/>
      <c r="BN993" s="3"/>
      <c r="BO993" s="3"/>
    </row>
    <row r="994" ht="15.75" customHeight="1">
      <c r="E994" s="2"/>
      <c r="F994" s="2"/>
      <c r="G994" s="2"/>
      <c r="H994" s="2"/>
      <c r="I994" s="2"/>
      <c r="J994" s="6"/>
      <c r="BL994" s="3"/>
      <c r="BM994" s="3"/>
      <c r="BN994" s="3"/>
      <c r="BO994" s="3"/>
    </row>
    <row r="995" ht="15.75" customHeight="1">
      <c r="E995" s="2"/>
      <c r="F995" s="2"/>
      <c r="G995" s="2"/>
      <c r="H995" s="2"/>
      <c r="I995" s="2"/>
      <c r="J995" s="6"/>
      <c r="BL995" s="3"/>
      <c r="BM995" s="3"/>
      <c r="BN995" s="3"/>
      <c r="BO995" s="3"/>
    </row>
    <row r="996" ht="15.75" customHeight="1">
      <c r="E996" s="2"/>
      <c r="F996" s="2"/>
      <c r="G996" s="2"/>
      <c r="H996" s="2"/>
      <c r="I996" s="2"/>
      <c r="J996" s="6"/>
      <c r="BL996" s="3"/>
      <c r="BM996" s="3"/>
      <c r="BN996" s="3"/>
      <c r="BO996" s="3"/>
    </row>
    <row r="997" ht="15.75" customHeight="1">
      <c r="E997" s="2"/>
      <c r="F997" s="2"/>
      <c r="G997" s="2"/>
      <c r="H997" s="2"/>
      <c r="I997" s="2"/>
      <c r="J997" s="6"/>
      <c r="BL997" s="3"/>
      <c r="BM997" s="3"/>
      <c r="BN997" s="3"/>
      <c r="BO997" s="3"/>
    </row>
    <row r="998" ht="15.75" customHeight="1">
      <c r="E998" s="2"/>
      <c r="F998" s="2"/>
      <c r="G998" s="2"/>
      <c r="H998" s="2"/>
      <c r="I998" s="2"/>
      <c r="J998" s="6"/>
      <c r="BL998" s="3"/>
      <c r="BM998" s="3"/>
      <c r="BN998" s="3"/>
      <c r="BO998" s="3"/>
    </row>
    <row r="999" ht="15.75" customHeight="1">
      <c r="E999" s="2"/>
      <c r="F999" s="2"/>
      <c r="G999" s="2"/>
      <c r="H999" s="2"/>
      <c r="I999" s="2"/>
      <c r="J999" s="6"/>
      <c r="BL999" s="3"/>
      <c r="BM999" s="3"/>
      <c r="BN999" s="3"/>
      <c r="BO999" s="3"/>
    </row>
    <row r="1000" ht="15.75" customHeight="1">
      <c r="E1000" s="2"/>
      <c r="F1000" s="2"/>
      <c r="G1000" s="2"/>
      <c r="H1000" s="2"/>
      <c r="I1000" s="2"/>
      <c r="J1000" s="6"/>
      <c r="BL1000" s="3"/>
      <c r="BM1000" s="3"/>
      <c r="BN1000" s="3"/>
      <c r="BO1000" s="3"/>
    </row>
  </sheetData>
  <autoFilter ref="$C$7:$BP$63"/>
  <mergeCells count="26">
    <mergeCell ref="BH5:BH6"/>
    <mergeCell ref="BI5:BI6"/>
    <mergeCell ref="BL5:BN5"/>
    <mergeCell ref="BP5:BP6"/>
    <mergeCell ref="M6:N6"/>
    <mergeCell ref="R6:S6"/>
    <mergeCell ref="E5:F5"/>
    <mergeCell ref="G5:H5"/>
    <mergeCell ref="I5:I6"/>
    <mergeCell ref="J5:J6"/>
    <mergeCell ref="K5:O5"/>
    <mergeCell ref="P5:T5"/>
    <mergeCell ref="U5:Y5"/>
    <mergeCell ref="W6:X6"/>
    <mergeCell ref="AB6:AC6"/>
    <mergeCell ref="AH6:AI6"/>
    <mergeCell ref="AN6:AO6"/>
    <mergeCell ref="AT6:AU6"/>
    <mergeCell ref="Z5:AD5"/>
    <mergeCell ref="AE5:AE6"/>
    <mergeCell ref="AF5:AK5"/>
    <mergeCell ref="AL5:AQ5"/>
    <mergeCell ref="AR5:AX5"/>
    <mergeCell ref="AY5:BE5"/>
    <mergeCell ref="BF5:BF6"/>
    <mergeCell ref="BA6:BB6"/>
  </mergeCells>
  <conditionalFormatting sqref="N8:N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:O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:T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6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:Y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8:AC6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:AD6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:AE6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:AJ6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8:AK6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8:AP6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8:AQ6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8:AW6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8:AX6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8:BB6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8:BC6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8:BD6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8:BE6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:BF6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8:BH6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8:BM6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8:BO6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1.43"/>
    <col customWidth="1" min="4" max="4" width="23.57"/>
    <col customWidth="1" min="5" max="5" width="14.43"/>
    <col customWidth="1" min="6" max="9" width="9.14"/>
    <col customWidth="1" min="10" max="10" width="16.14"/>
    <col customWidth="1" min="11" max="11" width="13.14"/>
    <col customWidth="1" min="12" max="15" width="9.14"/>
    <col customWidth="1" min="16" max="16" width="15.29"/>
    <col customWidth="1" min="17" max="17" width="13.86"/>
    <col customWidth="1" min="18" max="18" width="7.57"/>
    <col customWidth="1" min="19" max="21" width="9.14"/>
    <col customWidth="1" min="22" max="22" width="11.43"/>
    <col customWidth="1" min="23" max="23" width="23.57"/>
    <col customWidth="1" min="24" max="24" width="14.43"/>
    <col customWidth="1" min="25" max="25" width="16.71"/>
    <col customWidth="1" min="26" max="26" width="17.29"/>
    <col customWidth="1" min="27" max="53" width="9.14"/>
  </cols>
  <sheetData>
    <row r="1" ht="16.5" customHeight="1">
      <c r="A1" s="38"/>
      <c r="B1" s="38"/>
      <c r="C1" s="39"/>
      <c r="D1" s="38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  <c r="S1" s="38"/>
      <c r="T1" s="38"/>
      <c r="U1" s="38"/>
      <c r="V1" s="39"/>
      <c r="W1" s="38"/>
      <c r="X1" s="40"/>
      <c r="Y1" s="40"/>
      <c r="Z1" s="40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</row>
    <row r="2" ht="16.5" customHeight="1">
      <c r="A2" s="38"/>
      <c r="B2" s="38"/>
      <c r="C2" s="39"/>
      <c r="D2" s="39"/>
      <c r="E2" s="42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1"/>
      <c r="S2" s="38"/>
      <c r="T2" s="38"/>
      <c r="U2" s="38"/>
      <c r="V2" s="39"/>
      <c r="W2" s="39"/>
      <c r="X2" s="42"/>
      <c r="Y2" s="39"/>
      <c r="Z2" s="39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</row>
    <row r="3" ht="16.5" customHeight="1">
      <c r="A3" s="38"/>
      <c r="B3" s="38"/>
      <c r="C3" s="43" t="s">
        <v>99</v>
      </c>
      <c r="R3" s="41"/>
      <c r="S3" s="38"/>
      <c r="T3" s="38"/>
      <c r="U3" s="38"/>
      <c r="V3" s="43" t="s">
        <v>99</v>
      </c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</row>
    <row r="4" ht="16.5" customHeight="1">
      <c r="A4" s="38"/>
      <c r="B4" s="38"/>
      <c r="C4" s="39"/>
      <c r="D4" s="38"/>
      <c r="E4" s="42"/>
      <c r="F4" s="39"/>
      <c r="G4" s="39"/>
      <c r="H4" s="39"/>
      <c r="I4" s="39"/>
      <c r="J4" s="39"/>
      <c r="K4" s="44"/>
      <c r="L4" s="39"/>
      <c r="M4" s="39"/>
      <c r="N4" s="39"/>
      <c r="O4" s="39"/>
      <c r="P4" s="39"/>
      <c r="Q4" s="44"/>
      <c r="R4" s="41"/>
      <c r="S4" s="38"/>
      <c r="T4" s="38"/>
      <c r="U4" s="38"/>
      <c r="V4" s="39"/>
      <c r="W4" s="38"/>
      <c r="X4" s="42"/>
      <c r="Y4" s="39"/>
      <c r="Z4" s="39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</row>
    <row r="5" ht="30.0" customHeight="1">
      <c r="A5" s="38"/>
      <c r="B5" s="38"/>
      <c r="C5" s="45" t="s">
        <v>100</v>
      </c>
      <c r="D5" s="46" t="s">
        <v>2</v>
      </c>
      <c r="E5" s="47" t="s">
        <v>6</v>
      </c>
      <c r="F5" s="48" t="s">
        <v>14</v>
      </c>
      <c r="G5" s="14"/>
      <c r="H5" s="14"/>
      <c r="I5" s="14"/>
      <c r="J5" s="14"/>
      <c r="K5" s="10"/>
      <c r="L5" s="48" t="s">
        <v>15</v>
      </c>
      <c r="M5" s="14"/>
      <c r="N5" s="14"/>
      <c r="O5" s="14"/>
      <c r="P5" s="14"/>
      <c r="Q5" s="10"/>
      <c r="R5" s="41"/>
      <c r="S5" s="38"/>
      <c r="T5" s="38"/>
      <c r="U5" s="38"/>
      <c r="V5" s="45" t="s">
        <v>100</v>
      </c>
      <c r="W5" s="46" t="s">
        <v>2</v>
      </c>
      <c r="X5" s="47" t="s">
        <v>6</v>
      </c>
      <c r="Y5" s="45"/>
      <c r="Z5" s="45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</row>
    <row r="6" ht="16.5" customHeight="1">
      <c r="A6" s="38"/>
      <c r="B6" s="38"/>
      <c r="C6" s="45"/>
      <c r="D6" s="46"/>
      <c r="E6" s="47"/>
      <c r="F6" s="45">
        <v>2024.0</v>
      </c>
      <c r="G6" s="45">
        <v>2025.0</v>
      </c>
      <c r="H6" s="48" t="s">
        <v>17</v>
      </c>
      <c r="I6" s="10"/>
      <c r="J6" s="49" t="s">
        <v>101</v>
      </c>
      <c r="K6" s="45" t="s">
        <v>33</v>
      </c>
      <c r="L6" s="45">
        <v>2024.0</v>
      </c>
      <c r="M6" s="45">
        <v>2025.0</v>
      </c>
      <c r="N6" s="48" t="s">
        <v>17</v>
      </c>
      <c r="O6" s="10"/>
      <c r="P6" s="49" t="s">
        <v>102</v>
      </c>
      <c r="Q6" s="45" t="s">
        <v>34</v>
      </c>
      <c r="R6" s="41"/>
      <c r="S6" s="38"/>
      <c r="T6" s="38"/>
      <c r="U6" s="38"/>
      <c r="V6" s="45"/>
      <c r="W6" s="46"/>
      <c r="X6" s="47"/>
      <c r="Y6" s="45"/>
      <c r="Z6" s="45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</row>
    <row r="7" ht="16.5" customHeight="1">
      <c r="A7" s="38"/>
      <c r="B7" s="38"/>
      <c r="C7" s="45"/>
      <c r="D7" s="46"/>
      <c r="E7" s="47"/>
      <c r="F7" s="46" t="s">
        <v>42</v>
      </c>
      <c r="G7" s="46" t="s">
        <v>42</v>
      </c>
      <c r="H7" s="46" t="s">
        <v>42</v>
      </c>
      <c r="I7" s="46" t="s">
        <v>40</v>
      </c>
      <c r="J7" s="46" t="s">
        <v>41</v>
      </c>
      <c r="K7" s="46" t="s">
        <v>41</v>
      </c>
      <c r="L7" s="46" t="s">
        <v>42</v>
      </c>
      <c r="M7" s="46" t="s">
        <v>42</v>
      </c>
      <c r="N7" s="46" t="s">
        <v>42</v>
      </c>
      <c r="O7" s="46" t="s">
        <v>40</v>
      </c>
      <c r="P7" s="46" t="s">
        <v>41</v>
      </c>
      <c r="Q7" s="46" t="s">
        <v>41</v>
      </c>
      <c r="R7" s="41"/>
      <c r="S7" s="38"/>
      <c r="T7" s="38"/>
      <c r="U7" s="38"/>
      <c r="V7" s="45"/>
      <c r="W7" s="46"/>
      <c r="X7" s="47"/>
      <c r="Y7" s="46" t="s">
        <v>40</v>
      </c>
      <c r="Z7" s="46" t="s">
        <v>40</v>
      </c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</row>
    <row r="8" ht="16.5" customHeight="1">
      <c r="A8" s="38"/>
      <c r="B8" s="38"/>
      <c r="C8" s="50"/>
      <c r="D8" s="51"/>
      <c r="E8" s="52"/>
      <c r="F8" s="53">
        <f t="shared" ref="F8:H8" si="1">SUM(F10:F65)</f>
        <v>7377</v>
      </c>
      <c r="G8" s="53">
        <f t="shared" si="1"/>
        <v>9514</v>
      </c>
      <c r="H8" s="53">
        <f t="shared" si="1"/>
        <v>2137</v>
      </c>
      <c r="I8" s="54">
        <f>H8/F8</f>
        <v>0.2896841534</v>
      </c>
      <c r="J8" s="53" t="s">
        <v>41</v>
      </c>
      <c r="K8" s="53" t="s">
        <v>41</v>
      </c>
      <c r="L8" s="53">
        <f t="shared" ref="L8:N8" si="2">SUM(L10:L65)</f>
        <v>35716</v>
      </c>
      <c r="M8" s="53">
        <f t="shared" si="2"/>
        <v>30413</v>
      </c>
      <c r="N8" s="53">
        <f t="shared" si="2"/>
        <v>-5303</v>
      </c>
      <c r="O8" s="54">
        <f>N8/L8</f>
        <v>-0.1484768731</v>
      </c>
      <c r="P8" s="53" t="s">
        <v>41</v>
      </c>
      <c r="Q8" s="53" t="s">
        <v>41</v>
      </c>
      <c r="R8" s="41"/>
      <c r="S8" s="38"/>
      <c r="T8" s="38"/>
      <c r="U8" s="38"/>
      <c r="V8" s="50"/>
      <c r="W8" s="51"/>
      <c r="X8" s="52"/>
      <c r="Y8" s="54" t="str">
        <f t="shared" ref="Y8:Z8" si="3">#REF!/#REF!</f>
        <v>#REF!</v>
      </c>
      <c r="Z8" s="54" t="str">
        <f t="shared" si="3"/>
        <v>#REF!</v>
      </c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</row>
    <row r="9" ht="16.5" customHeight="1">
      <c r="A9" s="38"/>
      <c r="B9" s="38"/>
      <c r="C9" s="55">
        <v>1.0</v>
      </c>
      <c r="D9" s="55">
        <f t="shared" ref="D9:R9" si="4">C9+1</f>
        <v>2</v>
      </c>
      <c r="E9" s="55">
        <f t="shared" si="4"/>
        <v>3</v>
      </c>
      <c r="F9" s="55">
        <f t="shared" si="4"/>
        <v>4</v>
      </c>
      <c r="G9" s="55">
        <f t="shared" si="4"/>
        <v>5</v>
      </c>
      <c r="H9" s="55">
        <f t="shared" si="4"/>
        <v>6</v>
      </c>
      <c r="I9" s="55">
        <f t="shared" si="4"/>
        <v>7</v>
      </c>
      <c r="J9" s="55">
        <f t="shared" si="4"/>
        <v>8</v>
      </c>
      <c r="K9" s="55">
        <f t="shared" si="4"/>
        <v>9</v>
      </c>
      <c r="L9" s="55">
        <f t="shared" si="4"/>
        <v>10</v>
      </c>
      <c r="M9" s="55">
        <f t="shared" si="4"/>
        <v>11</v>
      </c>
      <c r="N9" s="55">
        <f t="shared" si="4"/>
        <v>12</v>
      </c>
      <c r="O9" s="55">
        <f t="shared" si="4"/>
        <v>13</v>
      </c>
      <c r="P9" s="55">
        <f t="shared" si="4"/>
        <v>14</v>
      </c>
      <c r="Q9" s="55">
        <f t="shared" si="4"/>
        <v>15</v>
      </c>
      <c r="R9" s="55">
        <f t="shared" si="4"/>
        <v>16</v>
      </c>
      <c r="S9" s="38"/>
      <c r="T9" s="38"/>
      <c r="U9" s="38"/>
      <c r="V9" s="55">
        <v>1.0</v>
      </c>
      <c r="W9" s="55">
        <f t="shared" ref="W9:X9" si="5">V9+1</f>
        <v>2</v>
      </c>
      <c r="X9" s="55">
        <f t="shared" si="5"/>
        <v>3</v>
      </c>
      <c r="Y9" s="55" t="str">
        <f t="shared" ref="Y9:Z9" si="6">#REF!+1</f>
        <v>#REF!</v>
      </c>
      <c r="Z9" s="55" t="str">
        <f t="shared" si="6"/>
        <v>#REF!</v>
      </c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</row>
    <row r="10" ht="16.5" customHeight="1">
      <c r="A10" s="38"/>
      <c r="B10" s="38"/>
      <c r="C10" s="56">
        <v>1.0</v>
      </c>
      <c r="D10" s="57" t="s">
        <v>103</v>
      </c>
      <c r="E10" s="58">
        <v>334391.0</v>
      </c>
      <c r="F10" s="56">
        <v>787.0</v>
      </c>
      <c r="G10" s="56">
        <v>709.0</v>
      </c>
      <c r="H10" s="56">
        <v>-78.0</v>
      </c>
      <c r="I10" s="59">
        <v>-0.09911054637865312</v>
      </c>
      <c r="J10" s="60">
        <v>21.202723757517397</v>
      </c>
      <c r="K10" s="56">
        <v>7.0</v>
      </c>
      <c r="L10" s="56">
        <v>4445.0</v>
      </c>
      <c r="M10" s="56">
        <v>2581.0</v>
      </c>
      <c r="N10" s="56">
        <v>-1864.0</v>
      </c>
      <c r="O10" s="59">
        <v>-0.41934758155230595</v>
      </c>
      <c r="P10" s="60">
        <v>77.18509170402314</v>
      </c>
      <c r="Q10" s="56">
        <v>7.0</v>
      </c>
      <c r="R10" s="41">
        <f t="shared" ref="R10:R65" si="7">C10</f>
        <v>1</v>
      </c>
      <c r="S10" s="38"/>
      <c r="T10" s="38"/>
      <c r="U10" s="38"/>
      <c r="V10" s="61">
        <v>1.0</v>
      </c>
      <c r="W10" s="62" t="s">
        <v>80</v>
      </c>
      <c r="X10" s="63">
        <v>334391.0</v>
      </c>
      <c r="Y10" s="64">
        <v>-0.09911054637865312</v>
      </c>
      <c r="Z10" s="64">
        <v>-0.41934758155230595</v>
      </c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</row>
    <row r="11" ht="16.5" customHeight="1">
      <c r="A11" s="38"/>
      <c r="B11" s="38"/>
      <c r="C11" s="56">
        <v>2.0</v>
      </c>
      <c r="D11" s="57" t="s">
        <v>104</v>
      </c>
      <c r="E11" s="58">
        <v>21294.0</v>
      </c>
      <c r="F11" s="56">
        <v>15.0</v>
      </c>
      <c r="G11" s="56">
        <v>10.0</v>
      </c>
      <c r="H11" s="56">
        <v>-5.0</v>
      </c>
      <c r="I11" s="59">
        <v>-0.3333333333333333</v>
      </c>
      <c r="J11" s="60">
        <v>4.696158542312388</v>
      </c>
      <c r="K11" s="56">
        <v>43.0</v>
      </c>
      <c r="L11" s="56">
        <v>204.0</v>
      </c>
      <c r="M11" s="56">
        <v>88.0</v>
      </c>
      <c r="N11" s="56">
        <v>-116.0</v>
      </c>
      <c r="O11" s="59">
        <v>-0.5686274509803921</v>
      </c>
      <c r="P11" s="60">
        <v>41.32619517234902</v>
      </c>
      <c r="Q11" s="56">
        <v>15.0</v>
      </c>
      <c r="R11" s="41">
        <f t="shared" si="7"/>
        <v>2</v>
      </c>
      <c r="S11" s="38"/>
      <c r="T11" s="38"/>
      <c r="U11" s="38"/>
      <c r="V11" s="61">
        <v>2.0</v>
      </c>
      <c r="W11" s="62" t="s">
        <v>85</v>
      </c>
      <c r="X11" s="63">
        <v>21294.0</v>
      </c>
      <c r="Y11" s="64">
        <v>-0.3333333333333333</v>
      </c>
      <c r="Z11" s="64">
        <v>-0.5686274509803921</v>
      </c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</row>
    <row r="12" ht="16.5" customHeight="1">
      <c r="A12" s="38"/>
      <c r="B12" s="38"/>
      <c r="C12" s="56">
        <v>3.0</v>
      </c>
      <c r="D12" s="57" t="s">
        <v>105</v>
      </c>
      <c r="E12" s="58">
        <v>350268.0</v>
      </c>
      <c r="F12" s="56">
        <v>481.0</v>
      </c>
      <c r="G12" s="56">
        <v>460.0</v>
      </c>
      <c r="H12" s="56">
        <v>-21.0</v>
      </c>
      <c r="I12" s="59">
        <v>-0.04365904365904366</v>
      </c>
      <c r="J12" s="60">
        <v>13.132801169390296</v>
      </c>
      <c r="K12" s="56">
        <v>15.0</v>
      </c>
      <c r="L12" s="56">
        <v>1824.0</v>
      </c>
      <c r="M12" s="56">
        <v>907.0</v>
      </c>
      <c r="N12" s="56">
        <v>-917.0</v>
      </c>
      <c r="O12" s="59">
        <v>-0.5027412280701754</v>
      </c>
      <c r="P12" s="60">
        <v>25.894457957906518</v>
      </c>
      <c r="Q12" s="56">
        <v>26.0</v>
      </c>
      <c r="R12" s="41">
        <f t="shared" si="7"/>
        <v>3</v>
      </c>
      <c r="S12" s="38"/>
      <c r="T12" s="38"/>
      <c r="U12" s="38"/>
      <c r="V12" s="61">
        <v>3.0</v>
      </c>
      <c r="W12" s="62" t="s">
        <v>52</v>
      </c>
      <c r="X12" s="63">
        <v>350268.0</v>
      </c>
      <c r="Y12" s="64">
        <v>-0.04365904365904366</v>
      </c>
      <c r="Z12" s="64">
        <v>-0.5027412280701754</v>
      </c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</row>
    <row r="13" ht="16.5" customHeight="1">
      <c r="A13" s="38"/>
      <c r="B13" s="38"/>
      <c r="C13" s="56">
        <v>4.0</v>
      </c>
      <c r="D13" s="57" t="s">
        <v>106</v>
      </c>
      <c r="E13" s="58">
        <v>74193.0</v>
      </c>
      <c r="F13" s="56">
        <v>37.0</v>
      </c>
      <c r="G13" s="56">
        <v>37.0</v>
      </c>
      <c r="H13" s="56">
        <v>0.0</v>
      </c>
      <c r="I13" s="59">
        <v>0.0</v>
      </c>
      <c r="J13" s="60">
        <v>4.986993382124998</v>
      </c>
      <c r="K13" s="56">
        <v>42.0</v>
      </c>
      <c r="L13" s="56">
        <v>315.0</v>
      </c>
      <c r="M13" s="56">
        <v>69.0</v>
      </c>
      <c r="N13" s="56">
        <v>-246.0</v>
      </c>
      <c r="O13" s="59">
        <v>-0.780952380952381</v>
      </c>
      <c r="P13" s="60">
        <v>9.30006873963851</v>
      </c>
      <c r="Q13" s="56">
        <v>50.0</v>
      </c>
      <c r="R13" s="41">
        <f t="shared" si="7"/>
        <v>4</v>
      </c>
      <c r="S13" s="38"/>
      <c r="T13" s="38"/>
      <c r="U13" s="38"/>
      <c r="V13" s="61">
        <v>4.0</v>
      </c>
      <c r="W13" s="62" t="s">
        <v>62</v>
      </c>
      <c r="X13" s="63">
        <v>74193.0</v>
      </c>
      <c r="Y13" s="64">
        <v>0.0</v>
      </c>
      <c r="Z13" s="64">
        <v>-0.780952380952381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</row>
    <row r="14" ht="16.5" customHeight="1">
      <c r="A14" s="38"/>
      <c r="B14" s="38"/>
      <c r="C14" s="56">
        <v>5.0</v>
      </c>
      <c r="D14" s="57" t="s">
        <v>53</v>
      </c>
      <c r="E14" s="58">
        <v>237574.0</v>
      </c>
      <c r="F14" s="56">
        <v>210.0</v>
      </c>
      <c r="G14" s="56">
        <v>179.0</v>
      </c>
      <c r="H14" s="56">
        <v>-31.0</v>
      </c>
      <c r="I14" s="59">
        <v>-0.14761904761904762</v>
      </c>
      <c r="J14" s="60">
        <v>7.5344945153930984</v>
      </c>
      <c r="K14" s="56">
        <v>36.0</v>
      </c>
      <c r="L14" s="56">
        <v>583.0</v>
      </c>
      <c r="M14" s="56">
        <v>456.0</v>
      </c>
      <c r="N14" s="56">
        <v>-127.0</v>
      </c>
      <c r="O14" s="59">
        <v>-0.21783876500857632</v>
      </c>
      <c r="P14" s="60">
        <v>19.19401954759359</v>
      </c>
      <c r="Q14" s="56">
        <v>39.0</v>
      </c>
      <c r="R14" s="41">
        <f t="shared" si="7"/>
        <v>5</v>
      </c>
      <c r="S14" s="38"/>
      <c r="T14" s="38"/>
      <c r="U14" s="38"/>
      <c r="V14" s="61">
        <v>5.0</v>
      </c>
      <c r="W14" s="62" t="s">
        <v>53</v>
      </c>
      <c r="X14" s="63">
        <v>237574.0</v>
      </c>
      <c r="Y14" s="64">
        <v>-0.14761904761904762</v>
      </c>
      <c r="Z14" s="64">
        <v>-0.21783876500857632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</row>
    <row r="15" ht="16.5" customHeight="1">
      <c r="A15" s="38"/>
      <c r="B15" s="38"/>
      <c r="C15" s="56">
        <v>6.0</v>
      </c>
      <c r="D15" s="57" t="s">
        <v>107</v>
      </c>
      <c r="E15" s="58">
        <v>2872.0</v>
      </c>
      <c r="F15" s="56">
        <v>2.0</v>
      </c>
      <c r="G15" s="56">
        <v>0.0</v>
      </c>
      <c r="H15" s="56">
        <v>-2.0</v>
      </c>
      <c r="I15" s="59">
        <v>-1.0</v>
      </c>
      <c r="J15" s="60">
        <v>0.0</v>
      </c>
      <c r="K15" s="56">
        <v>54.0</v>
      </c>
      <c r="L15" s="56">
        <v>4.0</v>
      </c>
      <c r="M15" s="56">
        <v>3.0</v>
      </c>
      <c r="N15" s="56">
        <v>-1.0</v>
      </c>
      <c r="O15" s="59">
        <v>-0.25</v>
      </c>
      <c r="P15" s="60">
        <v>10.445682451253482</v>
      </c>
      <c r="Q15" s="56">
        <v>49.0</v>
      </c>
      <c r="R15" s="41">
        <f t="shared" si="7"/>
        <v>6</v>
      </c>
      <c r="S15" s="38"/>
      <c r="T15" s="38"/>
      <c r="U15" s="38"/>
      <c r="V15" s="56">
        <v>6.0</v>
      </c>
      <c r="W15" s="30" t="s">
        <v>98</v>
      </c>
      <c r="X15" s="58">
        <v>2872.0</v>
      </c>
      <c r="Y15" s="59">
        <v>-1.0</v>
      </c>
      <c r="Z15" s="59">
        <v>-0.25</v>
      </c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</row>
    <row r="16" ht="16.5" customHeight="1">
      <c r="A16" s="38"/>
      <c r="B16" s="38"/>
      <c r="C16" s="56">
        <v>7.0</v>
      </c>
      <c r="D16" s="57" t="s">
        <v>108</v>
      </c>
      <c r="E16" s="58">
        <v>111398.0</v>
      </c>
      <c r="F16" s="56">
        <v>102.0</v>
      </c>
      <c r="G16" s="56">
        <v>101.0</v>
      </c>
      <c r="H16" s="56">
        <v>-1.0</v>
      </c>
      <c r="I16" s="59">
        <v>-0.00980392156862745</v>
      </c>
      <c r="J16" s="60">
        <v>9.066590064453582</v>
      </c>
      <c r="K16" s="56">
        <v>26.0</v>
      </c>
      <c r="L16" s="56">
        <v>494.0</v>
      </c>
      <c r="M16" s="56">
        <v>274.0</v>
      </c>
      <c r="N16" s="56">
        <v>-220.0</v>
      </c>
      <c r="O16" s="59">
        <v>-0.44534412955465585</v>
      </c>
      <c r="P16" s="60">
        <v>24.596491858022585</v>
      </c>
      <c r="Q16" s="56">
        <v>28.0</v>
      </c>
      <c r="R16" s="41">
        <f t="shared" si="7"/>
        <v>7</v>
      </c>
      <c r="S16" s="38"/>
      <c r="T16" s="38"/>
      <c r="U16" s="38"/>
      <c r="V16" s="56">
        <v>7.0</v>
      </c>
      <c r="W16" s="30" t="s">
        <v>72</v>
      </c>
      <c r="X16" s="58">
        <v>111398.0</v>
      </c>
      <c r="Y16" s="59">
        <v>-0.00980392156862745</v>
      </c>
      <c r="Z16" s="59">
        <v>-0.44534412955465585</v>
      </c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</row>
    <row r="17" ht="16.5" customHeight="1">
      <c r="A17" s="38"/>
      <c r="B17" s="38"/>
      <c r="C17" s="56">
        <v>8.0</v>
      </c>
      <c r="D17" s="57" t="s">
        <v>109</v>
      </c>
      <c r="E17" s="58">
        <v>549846.0</v>
      </c>
      <c r="F17" s="56">
        <v>258.0</v>
      </c>
      <c r="G17" s="56">
        <v>203.0</v>
      </c>
      <c r="H17" s="56">
        <v>-55.0</v>
      </c>
      <c r="I17" s="59">
        <v>-0.2131782945736434</v>
      </c>
      <c r="J17" s="60">
        <v>3.691942834902864</v>
      </c>
      <c r="K17" s="56">
        <v>45.0</v>
      </c>
      <c r="L17" s="56">
        <v>757.0</v>
      </c>
      <c r="M17" s="56">
        <v>581.0</v>
      </c>
      <c r="N17" s="56">
        <v>-176.0</v>
      </c>
      <c r="O17" s="59">
        <v>-0.23249669749009247</v>
      </c>
      <c r="P17" s="60">
        <v>10.566595010239231</v>
      </c>
      <c r="Q17" s="56">
        <v>48.0</v>
      </c>
      <c r="R17" s="41">
        <f t="shared" si="7"/>
        <v>8</v>
      </c>
      <c r="S17" s="38"/>
      <c r="T17" s="38"/>
      <c r="U17" s="38"/>
      <c r="V17" s="56">
        <v>8.0</v>
      </c>
      <c r="W17" s="30" t="s">
        <v>43</v>
      </c>
      <c r="X17" s="58">
        <v>549846.0</v>
      </c>
      <c r="Y17" s="59">
        <v>-0.2131782945736434</v>
      </c>
      <c r="Z17" s="59">
        <v>-0.23249669749009247</v>
      </c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</row>
    <row r="18" ht="16.5" customHeight="1">
      <c r="A18" s="38"/>
      <c r="B18" s="38"/>
      <c r="C18" s="56">
        <v>9.0</v>
      </c>
      <c r="D18" s="57" t="s">
        <v>110</v>
      </c>
      <c r="E18" s="58">
        <v>309204.0</v>
      </c>
      <c r="F18" s="56">
        <v>167.0</v>
      </c>
      <c r="G18" s="56">
        <v>192.0</v>
      </c>
      <c r="H18" s="56">
        <v>25.0</v>
      </c>
      <c r="I18" s="59">
        <v>0.1497005988023952</v>
      </c>
      <c r="J18" s="60">
        <v>6.209492762059999</v>
      </c>
      <c r="K18" s="56">
        <v>39.0</v>
      </c>
      <c r="L18" s="56">
        <v>635.0</v>
      </c>
      <c r="M18" s="56">
        <v>400.0</v>
      </c>
      <c r="N18" s="56">
        <v>-235.0</v>
      </c>
      <c r="O18" s="59">
        <v>-0.3700787401574803</v>
      </c>
      <c r="P18" s="60">
        <v>12.936443254291666</v>
      </c>
      <c r="Q18" s="56">
        <v>46.0</v>
      </c>
      <c r="R18" s="41">
        <f t="shared" si="7"/>
        <v>9</v>
      </c>
      <c r="S18" s="38"/>
      <c r="T18" s="38"/>
      <c r="U18" s="38"/>
      <c r="V18" s="56">
        <v>9.0</v>
      </c>
      <c r="W18" s="30" t="s">
        <v>50</v>
      </c>
      <c r="X18" s="58">
        <v>309204.0</v>
      </c>
      <c r="Y18" s="59">
        <v>0.1497005988023952</v>
      </c>
      <c r="Z18" s="59">
        <v>-0.3700787401574803</v>
      </c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</row>
    <row r="19" ht="16.5" customHeight="1">
      <c r="A19" s="38"/>
      <c r="B19" s="38"/>
      <c r="C19" s="56">
        <v>10.0</v>
      </c>
      <c r="D19" s="57" t="s">
        <v>111</v>
      </c>
      <c r="E19" s="58">
        <v>119957.0</v>
      </c>
      <c r="F19" s="56">
        <v>45.0</v>
      </c>
      <c r="G19" s="56">
        <v>40.0</v>
      </c>
      <c r="H19" s="56">
        <v>-5.0</v>
      </c>
      <c r="I19" s="59">
        <v>-0.1111111111111111</v>
      </c>
      <c r="J19" s="60">
        <v>3.334528205940462</v>
      </c>
      <c r="K19" s="56">
        <v>47.0</v>
      </c>
      <c r="L19" s="56">
        <v>320.0</v>
      </c>
      <c r="M19" s="56">
        <v>279.0</v>
      </c>
      <c r="N19" s="56">
        <v>-41.0</v>
      </c>
      <c r="O19" s="59">
        <v>-0.128125</v>
      </c>
      <c r="P19" s="60">
        <v>23.258334236434724</v>
      </c>
      <c r="Q19" s="56">
        <v>30.0</v>
      </c>
      <c r="R19" s="41">
        <f t="shared" si="7"/>
        <v>10</v>
      </c>
      <c r="S19" s="38"/>
      <c r="T19" s="38"/>
      <c r="U19" s="38"/>
      <c r="V19" s="56">
        <v>10.0</v>
      </c>
      <c r="W19" s="30" t="s">
        <v>65</v>
      </c>
      <c r="X19" s="58">
        <v>119957.0</v>
      </c>
      <c r="Y19" s="59">
        <v>-0.1111111111111111</v>
      </c>
      <c r="Z19" s="59">
        <v>-0.128125</v>
      </c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</row>
    <row r="20" ht="16.5" customHeight="1">
      <c r="A20" s="38"/>
      <c r="B20" s="38"/>
      <c r="C20" s="56">
        <v>11.0</v>
      </c>
      <c r="D20" s="57" t="s">
        <v>112</v>
      </c>
      <c r="E20" s="58">
        <v>300650.0</v>
      </c>
      <c r="F20" s="56">
        <v>318.0</v>
      </c>
      <c r="G20" s="56">
        <v>358.0</v>
      </c>
      <c r="H20" s="56">
        <v>40.0</v>
      </c>
      <c r="I20" s="59">
        <v>0.12578616352201258</v>
      </c>
      <c r="J20" s="60">
        <v>11.907533677033095</v>
      </c>
      <c r="K20" s="56">
        <v>21.0</v>
      </c>
      <c r="L20" s="56">
        <v>1284.0</v>
      </c>
      <c r="M20" s="56">
        <v>988.0</v>
      </c>
      <c r="N20" s="56">
        <v>-296.0</v>
      </c>
      <c r="O20" s="59">
        <v>-0.23052959501557632</v>
      </c>
      <c r="P20" s="60">
        <v>32.862132047231</v>
      </c>
      <c r="Q20" s="56">
        <v>22.0</v>
      </c>
      <c r="R20" s="41">
        <f t="shared" si="7"/>
        <v>11</v>
      </c>
      <c r="S20" s="38"/>
      <c r="T20" s="38"/>
      <c r="U20" s="38"/>
      <c r="V20" s="56">
        <v>11.0</v>
      </c>
      <c r="W20" s="30" t="s">
        <v>79</v>
      </c>
      <c r="X20" s="58">
        <v>300650.0</v>
      </c>
      <c r="Y20" s="59">
        <v>0.12578616352201258</v>
      </c>
      <c r="Z20" s="59">
        <v>-0.23052959501557632</v>
      </c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</row>
    <row r="21" ht="16.5" customHeight="1">
      <c r="A21" s="38"/>
      <c r="B21" s="38"/>
      <c r="C21" s="56">
        <v>12.0</v>
      </c>
      <c r="D21" s="57" t="s">
        <v>113</v>
      </c>
      <c r="E21" s="58">
        <v>299964.0</v>
      </c>
      <c r="F21" s="56">
        <v>226.0</v>
      </c>
      <c r="G21" s="56">
        <v>252.0</v>
      </c>
      <c r="H21" s="56">
        <v>26.0</v>
      </c>
      <c r="I21" s="59">
        <v>0.11504424778761062</v>
      </c>
      <c r="J21" s="60">
        <v>8.401008120974517</v>
      </c>
      <c r="K21" s="56">
        <v>32.0</v>
      </c>
      <c r="L21" s="56">
        <v>858.0</v>
      </c>
      <c r="M21" s="56">
        <v>687.0</v>
      </c>
      <c r="N21" s="56">
        <v>-171.0</v>
      </c>
      <c r="O21" s="59">
        <v>-0.1993006993006993</v>
      </c>
      <c r="P21" s="60">
        <v>22.902748329799575</v>
      </c>
      <c r="Q21" s="56">
        <v>32.0</v>
      </c>
      <c r="R21" s="41">
        <f t="shared" si="7"/>
        <v>12</v>
      </c>
      <c r="S21" s="38"/>
      <c r="T21" s="38"/>
      <c r="U21" s="38"/>
      <c r="V21" s="56">
        <v>12.0</v>
      </c>
      <c r="W21" s="30" t="s">
        <v>77</v>
      </c>
      <c r="X21" s="58">
        <v>299964.0</v>
      </c>
      <c r="Y21" s="59">
        <v>0.11504424778761062</v>
      </c>
      <c r="Z21" s="59">
        <v>-0.1993006993006993</v>
      </c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</row>
    <row r="22" ht="16.5" customHeight="1">
      <c r="A22" s="38"/>
      <c r="B22" s="38"/>
      <c r="C22" s="56">
        <v>13.0</v>
      </c>
      <c r="D22" s="57" t="s">
        <v>114</v>
      </c>
      <c r="E22" s="58">
        <v>121788.0</v>
      </c>
      <c r="F22" s="56">
        <v>90.0</v>
      </c>
      <c r="G22" s="56">
        <v>108.0</v>
      </c>
      <c r="H22" s="56">
        <v>18.0</v>
      </c>
      <c r="I22" s="59">
        <v>0.2</v>
      </c>
      <c r="J22" s="60">
        <v>8.867868755542418</v>
      </c>
      <c r="K22" s="56">
        <v>28.0</v>
      </c>
      <c r="L22" s="56">
        <v>756.0</v>
      </c>
      <c r="M22" s="56">
        <v>573.0</v>
      </c>
      <c r="N22" s="56">
        <v>-183.0</v>
      </c>
      <c r="O22" s="59">
        <v>-0.24206349206349206</v>
      </c>
      <c r="P22" s="60">
        <v>47.04897034190561</v>
      </c>
      <c r="Q22" s="56">
        <v>13.0</v>
      </c>
      <c r="R22" s="41">
        <f t="shared" si="7"/>
        <v>13</v>
      </c>
      <c r="S22" s="38"/>
      <c r="T22" s="38"/>
      <c r="U22" s="38"/>
      <c r="V22" s="56">
        <v>13.0</v>
      </c>
      <c r="W22" s="30" t="s">
        <v>48</v>
      </c>
      <c r="X22" s="58">
        <v>121788.0</v>
      </c>
      <c r="Y22" s="59">
        <v>0.2</v>
      </c>
      <c r="Z22" s="59">
        <v>-0.24206349206349206</v>
      </c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</row>
    <row r="23" ht="16.5" customHeight="1">
      <c r="A23" s="38"/>
      <c r="B23" s="38"/>
      <c r="C23" s="56">
        <v>14.0</v>
      </c>
      <c r="D23" s="57" t="s">
        <v>115</v>
      </c>
      <c r="E23" s="58">
        <v>152190.0</v>
      </c>
      <c r="F23" s="56">
        <v>61.0</v>
      </c>
      <c r="G23" s="56">
        <v>52.0</v>
      </c>
      <c r="H23" s="56">
        <v>-9.0</v>
      </c>
      <c r="I23" s="59">
        <v>-0.14754098360655737</v>
      </c>
      <c r="J23" s="60">
        <v>3.416781654510809</v>
      </c>
      <c r="K23" s="56">
        <v>46.0</v>
      </c>
      <c r="L23" s="56">
        <v>140.0</v>
      </c>
      <c r="M23" s="56">
        <v>114.0</v>
      </c>
      <c r="N23" s="56">
        <v>-26.0</v>
      </c>
      <c r="O23" s="59">
        <v>-0.18571428571428572</v>
      </c>
      <c r="P23" s="60">
        <v>7.49063670411985</v>
      </c>
      <c r="Q23" s="56">
        <v>52.0</v>
      </c>
      <c r="R23" s="41">
        <f t="shared" si="7"/>
        <v>14</v>
      </c>
      <c r="S23" s="38"/>
      <c r="T23" s="38"/>
      <c r="U23" s="38"/>
      <c r="V23" s="61">
        <v>14.0</v>
      </c>
      <c r="W23" s="62" t="s">
        <v>45</v>
      </c>
      <c r="X23" s="63">
        <v>152190.0</v>
      </c>
      <c r="Y23" s="64">
        <v>-0.14754098360655737</v>
      </c>
      <c r="Z23" s="64">
        <v>-0.18571428571428572</v>
      </c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</row>
    <row r="24" ht="16.5" customHeight="1">
      <c r="A24" s="38"/>
      <c r="B24" s="38"/>
      <c r="C24" s="56">
        <v>15.0</v>
      </c>
      <c r="D24" s="57" t="s">
        <v>116</v>
      </c>
      <c r="E24" s="58">
        <v>214925.0</v>
      </c>
      <c r="F24" s="56">
        <v>142.0</v>
      </c>
      <c r="G24" s="56">
        <v>171.0</v>
      </c>
      <c r="H24" s="56">
        <v>29.0</v>
      </c>
      <c r="I24" s="59">
        <v>0.20422535211267606</v>
      </c>
      <c r="J24" s="60">
        <v>7.956263812958008</v>
      </c>
      <c r="K24" s="56">
        <v>33.0</v>
      </c>
      <c r="L24" s="56">
        <v>472.0</v>
      </c>
      <c r="M24" s="56">
        <v>355.0</v>
      </c>
      <c r="N24" s="56">
        <v>-117.0</v>
      </c>
      <c r="O24" s="59">
        <v>-0.2478813559322034</v>
      </c>
      <c r="P24" s="60">
        <v>16.51738978713505</v>
      </c>
      <c r="Q24" s="56">
        <v>40.0</v>
      </c>
      <c r="R24" s="41">
        <f t="shared" si="7"/>
        <v>15</v>
      </c>
      <c r="S24" s="38"/>
      <c r="T24" s="38"/>
      <c r="U24" s="38"/>
      <c r="V24" s="56">
        <v>15.0</v>
      </c>
      <c r="W24" s="30" t="s">
        <v>73</v>
      </c>
      <c r="X24" s="58">
        <v>214925.0</v>
      </c>
      <c r="Y24" s="59">
        <v>0.20422535211267606</v>
      </c>
      <c r="Z24" s="59">
        <v>-0.2478813559322034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</row>
    <row r="25" ht="16.5" customHeight="1">
      <c r="A25" s="38"/>
      <c r="B25" s="38"/>
      <c r="C25" s="56">
        <v>16.0</v>
      </c>
      <c r="D25" s="57" t="s">
        <v>117</v>
      </c>
      <c r="E25" s="58">
        <v>222807.0</v>
      </c>
      <c r="F25" s="56">
        <v>239.0</v>
      </c>
      <c r="G25" s="56">
        <v>324.0</v>
      </c>
      <c r="H25" s="56">
        <v>85.0</v>
      </c>
      <c r="I25" s="59">
        <v>0.35564853556485354</v>
      </c>
      <c r="J25" s="60">
        <v>14.541733428482948</v>
      </c>
      <c r="K25" s="56">
        <v>13.0</v>
      </c>
      <c r="L25" s="56">
        <v>2294.0</v>
      </c>
      <c r="M25" s="56">
        <v>1299.0</v>
      </c>
      <c r="N25" s="56">
        <v>-995.0</v>
      </c>
      <c r="O25" s="59">
        <v>-0.4337401918047079</v>
      </c>
      <c r="P25" s="60">
        <v>58.30157939382515</v>
      </c>
      <c r="Q25" s="56">
        <v>9.0</v>
      </c>
      <c r="R25" s="41">
        <f t="shared" si="7"/>
        <v>16</v>
      </c>
      <c r="S25" s="38"/>
      <c r="T25" s="38"/>
      <c r="U25" s="38"/>
      <c r="V25" s="56">
        <v>16.0</v>
      </c>
      <c r="W25" s="30" t="s">
        <v>51</v>
      </c>
      <c r="X25" s="58">
        <v>222807.0</v>
      </c>
      <c r="Y25" s="59">
        <v>0.35564853556485354</v>
      </c>
      <c r="Z25" s="59">
        <v>-0.4337401918047079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</row>
    <row r="26" ht="16.5" customHeight="1">
      <c r="A26" s="38"/>
      <c r="B26" s="38"/>
      <c r="C26" s="56">
        <v>17.0</v>
      </c>
      <c r="D26" s="57" t="s">
        <v>118</v>
      </c>
      <c r="E26" s="58">
        <v>146908.0</v>
      </c>
      <c r="F26" s="56">
        <v>239.0</v>
      </c>
      <c r="G26" s="56">
        <v>313.0</v>
      </c>
      <c r="H26" s="56">
        <v>74.0</v>
      </c>
      <c r="I26" s="59">
        <v>0.30962343096234307</v>
      </c>
      <c r="J26" s="60">
        <v>21.30585128107387</v>
      </c>
      <c r="K26" s="56">
        <v>6.0</v>
      </c>
      <c r="L26" s="56">
        <v>2706.0</v>
      </c>
      <c r="M26" s="56">
        <v>1216.0</v>
      </c>
      <c r="N26" s="56">
        <v>-1490.0</v>
      </c>
      <c r="O26" s="59">
        <v>-0.5506282335550629</v>
      </c>
      <c r="P26" s="60">
        <v>82.77289187790998</v>
      </c>
      <c r="Q26" s="56">
        <v>6.0</v>
      </c>
      <c r="R26" s="41">
        <f t="shared" si="7"/>
        <v>17</v>
      </c>
      <c r="S26" s="38"/>
      <c r="T26" s="38"/>
      <c r="U26" s="38"/>
      <c r="V26" s="56">
        <v>17.0</v>
      </c>
      <c r="W26" s="30" t="s">
        <v>55</v>
      </c>
      <c r="X26" s="58">
        <v>146908.0</v>
      </c>
      <c r="Y26" s="59">
        <v>0.30962343096234307</v>
      </c>
      <c r="Z26" s="59">
        <v>-0.5506282335550629</v>
      </c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</row>
    <row r="27" ht="16.5" customHeight="1">
      <c r="A27" s="38"/>
      <c r="B27" s="38"/>
      <c r="C27" s="56">
        <v>18.0</v>
      </c>
      <c r="D27" s="57" t="s">
        <v>119</v>
      </c>
      <c r="E27" s="58">
        <v>59622.0</v>
      </c>
      <c r="F27" s="56">
        <v>30.0</v>
      </c>
      <c r="G27" s="56">
        <v>25.0</v>
      </c>
      <c r="H27" s="56">
        <v>-5.0</v>
      </c>
      <c r="I27" s="59">
        <v>-0.16666666666666666</v>
      </c>
      <c r="J27" s="60">
        <v>4.193083090134514</v>
      </c>
      <c r="K27" s="56">
        <v>44.0</v>
      </c>
      <c r="L27" s="56">
        <v>23.0</v>
      </c>
      <c r="M27" s="56">
        <v>27.0</v>
      </c>
      <c r="N27" s="56">
        <v>4.0</v>
      </c>
      <c r="O27" s="59">
        <v>0.17391304347826086</v>
      </c>
      <c r="P27" s="60">
        <v>4.528529737345275</v>
      </c>
      <c r="Q27" s="56">
        <v>53.0</v>
      </c>
      <c r="R27" s="41">
        <f t="shared" si="7"/>
        <v>18</v>
      </c>
      <c r="S27" s="38"/>
      <c r="T27" s="38"/>
      <c r="U27" s="38"/>
      <c r="V27" s="56">
        <v>18.0</v>
      </c>
      <c r="W27" s="30" t="s">
        <v>82</v>
      </c>
      <c r="X27" s="58">
        <v>59622.0</v>
      </c>
      <c r="Y27" s="59">
        <v>-0.16666666666666666</v>
      </c>
      <c r="Z27" s="59">
        <v>0.17391304347826086</v>
      </c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</row>
    <row r="28" ht="16.5" customHeight="1">
      <c r="A28" s="38"/>
      <c r="B28" s="38"/>
      <c r="C28" s="56">
        <v>19.0</v>
      </c>
      <c r="D28" s="57" t="s">
        <v>120</v>
      </c>
      <c r="E28" s="58">
        <v>217794.0</v>
      </c>
      <c r="F28" s="56">
        <v>169.0</v>
      </c>
      <c r="G28" s="56">
        <v>194.0</v>
      </c>
      <c r="H28" s="56">
        <v>25.0</v>
      </c>
      <c r="I28" s="59">
        <v>0.14792899408284024</v>
      </c>
      <c r="J28" s="60">
        <v>8.90749974746779</v>
      </c>
      <c r="K28" s="56">
        <v>27.0</v>
      </c>
      <c r="L28" s="56">
        <v>515.0</v>
      </c>
      <c r="M28" s="56">
        <v>440.0</v>
      </c>
      <c r="N28" s="56">
        <v>-75.0</v>
      </c>
      <c r="O28" s="59">
        <v>-0.14563106796116504</v>
      </c>
      <c r="P28" s="60">
        <v>20.202576746834165</v>
      </c>
      <c r="Q28" s="56">
        <v>37.0</v>
      </c>
      <c r="R28" s="41">
        <f t="shared" si="7"/>
        <v>19</v>
      </c>
      <c r="S28" s="38"/>
      <c r="T28" s="38"/>
      <c r="U28" s="38"/>
      <c r="V28" s="56">
        <v>19.0</v>
      </c>
      <c r="W28" s="30" t="s">
        <v>46</v>
      </c>
      <c r="X28" s="58">
        <v>217794.0</v>
      </c>
      <c r="Y28" s="59">
        <v>0.14792899408284024</v>
      </c>
      <c r="Z28" s="59">
        <v>-0.14563106796116504</v>
      </c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</row>
    <row r="29" ht="16.5" customHeight="1">
      <c r="A29" s="38"/>
      <c r="B29" s="38"/>
      <c r="C29" s="56">
        <v>20.0</v>
      </c>
      <c r="D29" s="57" t="s">
        <v>121</v>
      </c>
      <c r="E29" s="58">
        <v>68758.0</v>
      </c>
      <c r="F29" s="56">
        <v>14.0</v>
      </c>
      <c r="G29" s="56">
        <v>12.0</v>
      </c>
      <c r="H29" s="56">
        <v>-2.0</v>
      </c>
      <c r="I29" s="59">
        <v>-0.14285714285714285</v>
      </c>
      <c r="J29" s="60">
        <v>1.7452514616480992</v>
      </c>
      <c r="K29" s="56">
        <v>53.0</v>
      </c>
      <c r="L29" s="56">
        <v>66.0</v>
      </c>
      <c r="M29" s="56">
        <v>55.0</v>
      </c>
      <c r="N29" s="56">
        <v>-11.0</v>
      </c>
      <c r="O29" s="59">
        <v>-0.16666666666666666</v>
      </c>
      <c r="P29" s="60">
        <v>7.999069199220455</v>
      </c>
      <c r="Q29" s="56">
        <v>51.0</v>
      </c>
      <c r="R29" s="41">
        <f t="shared" si="7"/>
        <v>20</v>
      </c>
      <c r="S29" s="38"/>
      <c r="T29" s="38"/>
      <c r="U29" s="38"/>
      <c r="V29" s="56">
        <v>20.0</v>
      </c>
      <c r="W29" s="30" t="s">
        <v>88</v>
      </c>
      <c r="X29" s="58">
        <v>68758.0</v>
      </c>
      <c r="Y29" s="59">
        <v>-0.14285714285714285</v>
      </c>
      <c r="Z29" s="59">
        <v>-0.16666666666666666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</row>
    <row r="30" ht="16.5" customHeight="1">
      <c r="A30" s="38"/>
      <c r="B30" s="38"/>
      <c r="C30" s="56">
        <v>21.0</v>
      </c>
      <c r="D30" s="57" t="s">
        <v>122</v>
      </c>
      <c r="E30" s="58">
        <v>29700.0</v>
      </c>
      <c r="F30" s="56">
        <v>11.0</v>
      </c>
      <c r="G30" s="56">
        <v>21.0</v>
      </c>
      <c r="H30" s="56">
        <v>10.0</v>
      </c>
      <c r="I30" s="59">
        <v>0.9090909090909091</v>
      </c>
      <c r="J30" s="60">
        <v>7.070707070707071</v>
      </c>
      <c r="K30" s="56">
        <v>37.0</v>
      </c>
      <c r="L30" s="56">
        <v>144.0</v>
      </c>
      <c r="M30" s="56">
        <v>74.0</v>
      </c>
      <c r="N30" s="56">
        <v>-70.0</v>
      </c>
      <c r="O30" s="59">
        <v>-0.4861111111111111</v>
      </c>
      <c r="P30" s="60">
        <v>24.915824915824917</v>
      </c>
      <c r="Q30" s="56">
        <v>27.0</v>
      </c>
      <c r="R30" s="41">
        <f t="shared" si="7"/>
        <v>21</v>
      </c>
      <c r="S30" s="38"/>
      <c r="T30" s="38"/>
      <c r="U30" s="38"/>
      <c r="V30" s="56">
        <v>21.0</v>
      </c>
      <c r="W30" s="30" t="s">
        <v>93</v>
      </c>
      <c r="X30" s="58">
        <v>29700.0</v>
      </c>
      <c r="Y30" s="59">
        <v>0.9090909090909091</v>
      </c>
      <c r="Z30" s="59">
        <v>-0.4861111111111111</v>
      </c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</row>
    <row r="31" ht="16.5" customHeight="1">
      <c r="A31" s="38"/>
      <c r="B31" s="38"/>
      <c r="C31" s="56">
        <v>22.0</v>
      </c>
      <c r="D31" s="57" t="s">
        <v>123</v>
      </c>
      <c r="E31" s="58">
        <v>28401.0</v>
      </c>
      <c r="F31" s="56">
        <v>1.0</v>
      </c>
      <c r="G31" s="56">
        <v>0.0</v>
      </c>
      <c r="H31" s="56">
        <v>-1.0</v>
      </c>
      <c r="I31" s="59">
        <v>-1.0</v>
      </c>
      <c r="J31" s="60">
        <v>0.0</v>
      </c>
      <c r="K31" s="56">
        <v>54.0</v>
      </c>
      <c r="L31" s="56">
        <v>6.0</v>
      </c>
      <c r="M31" s="56">
        <v>3.0</v>
      </c>
      <c r="N31" s="56">
        <v>-3.0</v>
      </c>
      <c r="O31" s="59">
        <v>-0.5</v>
      </c>
      <c r="P31" s="60">
        <v>1.0563008344776592</v>
      </c>
      <c r="Q31" s="56">
        <v>55.0</v>
      </c>
      <c r="R31" s="41">
        <f t="shared" si="7"/>
        <v>22</v>
      </c>
      <c r="S31" s="38"/>
      <c r="T31" s="38"/>
      <c r="U31" s="38"/>
      <c r="V31" s="56">
        <v>22.0</v>
      </c>
      <c r="W31" s="30" t="s">
        <v>94</v>
      </c>
      <c r="X31" s="58">
        <v>28401.0</v>
      </c>
      <c r="Y31" s="59">
        <v>-1.0</v>
      </c>
      <c r="Z31" s="59">
        <v>-0.5</v>
      </c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</row>
    <row r="32" ht="16.5" customHeight="1">
      <c r="A32" s="38"/>
      <c r="B32" s="38"/>
      <c r="C32" s="56">
        <v>23.0</v>
      </c>
      <c r="D32" s="57" t="s">
        <v>124</v>
      </c>
      <c r="E32" s="58">
        <v>414189.0</v>
      </c>
      <c r="F32" s="56">
        <v>163.0</v>
      </c>
      <c r="G32" s="56">
        <v>133.0</v>
      </c>
      <c r="H32" s="56">
        <v>-30.0</v>
      </c>
      <c r="I32" s="59">
        <v>-0.18404907975460122</v>
      </c>
      <c r="J32" s="60">
        <v>3.211094452049668</v>
      </c>
      <c r="K32" s="56">
        <v>48.0</v>
      </c>
      <c r="L32" s="56">
        <v>482.0</v>
      </c>
      <c r="M32" s="56">
        <v>573.0</v>
      </c>
      <c r="N32" s="56">
        <v>91.0</v>
      </c>
      <c r="O32" s="59">
        <v>0.1887966804979253</v>
      </c>
      <c r="P32" s="60">
        <v>13.834264067853082</v>
      </c>
      <c r="Q32" s="56">
        <v>44.0</v>
      </c>
      <c r="R32" s="41">
        <f t="shared" si="7"/>
        <v>23</v>
      </c>
      <c r="S32" s="38"/>
      <c r="T32" s="38"/>
      <c r="U32" s="38"/>
      <c r="V32" s="56">
        <v>23.0</v>
      </c>
      <c r="W32" s="30" t="s">
        <v>49</v>
      </c>
      <c r="X32" s="58">
        <v>414189.0</v>
      </c>
      <c r="Y32" s="59">
        <v>-0.18404907975460122</v>
      </c>
      <c r="Z32" s="59">
        <v>0.1887966804979253</v>
      </c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</row>
    <row r="33" ht="16.5" customHeight="1">
      <c r="A33" s="38"/>
      <c r="B33" s="38"/>
      <c r="C33" s="56">
        <v>24.0</v>
      </c>
      <c r="D33" s="57" t="s">
        <v>125</v>
      </c>
      <c r="E33" s="58">
        <v>101978.0</v>
      </c>
      <c r="F33" s="56">
        <v>79.0</v>
      </c>
      <c r="G33" s="56">
        <v>103.0</v>
      </c>
      <c r="H33" s="56">
        <v>24.0</v>
      </c>
      <c r="I33" s="59">
        <v>0.3037974683544304</v>
      </c>
      <c r="J33" s="60">
        <v>10.100217694012434</v>
      </c>
      <c r="K33" s="56">
        <v>25.0</v>
      </c>
      <c r="L33" s="56">
        <v>202.0</v>
      </c>
      <c r="M33" s="56">
        <v>166.0</v>
      </c>
      <c r="N33" s="56">
        <v>-36.0</v>
      </c>
      <c r="O33" s="59">
        <v>-0.1782178217821782</v>
      </c>
      <c r="P33" s="60">
        <v>16.278020749573436</v>
      </c>
      <c r="Q33" s="56">
        <v>42.0</v>
      </c>
      <c r="R33" s="41">
        <f t="shared" si="7"/>
        <v>24</v>
      </c>
      <c r="S33" s="38"/>
      <c r="T33" s="38"/>
      <c r="U33" s="38"/>
      <c r="V33" s="56">
        <v>24.0</v>
      </c>
      <c r="W33" s="30" t="s">
        <v>84</v>
      </c>
      <c r="X33" s="58">
        <v>101978.0</v>
      </c>
      <c r="Y33" s="59">
        <v>0.3037974683544304</v>
      </c>
      <c r="Z33" s="59">
        <v>-0.1782178217821782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</row>
    <row r="34" ht="16.5" customHeight="1">
      <c r="A34" s="38"/>
      <c r="B34" s="38"/>
      <c r="C34" s="56">
        <v>25.0</v>
      </c>
      <c r="D34" s="57" t="s">
        <v>126</v>
      </c>
      <c r="E34" s="58">
        <v>2063.0</v>
      </c>
      <c r="F34" s="56">
        <v>0.0</v>
      </c>
      <c r="G34" s="56">
        <v>0.0</v>
      </c>
      <c r="H34" s="56">
        <v>0.0</v>
      </c>
      <c r="I34" s="59" t="s">
        <v>41</v>
      </c>
      <c r="J34" s="60">
        <v>0.0</v>
      </c>
      <c r="K34" s="56">
        <v>54.0</v>
      </c>
      <c r="L34" s="56">
        <v>0.0</v>
      </c>
      <c r="M34" s="56">
        <v>0.0</v>
      </c>
      <c r="N34" s="56">
        <v>0.0</v>
      </c>
      <c r="O34" s="59" t="s">
        <v>41</v>
      </c>
      <c r="P34" s="60">
        <v>0.0</v>
      </c>
      <c r="Q34" s="56">
        <v>56.0</v>
      </c>
      <c r="R34" s="41">
        <f t="shared" si="7"/>
        <v>25</v>
      </c>
      <c r="S34" s="38"/>
      <c r="T34" s="38"/>
      <c r="U34" s="38"/>
      <c r="V34" s="56">
        <v>25.0</v>
      </c>
      <c r="W34" s="30" t="s">
        <v>95</v>
      </c>
      <c r="X34" s="58">
        <v>2063.0</v>
      </c>
      <c r="Y34" s="59" t="s">
        <v>41</v>
      </c>
      <c r="Z34" s="59" t="s">
        <v>41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</row>
    <row r="35" ht="16.5" customHeight="1">
      <c r="A35" s="38"/>
      <c r="B35" s="38"/>
      <c r="C35" s="56">
        <v>26.0</v>
      </c>
      <c r="D35" s="30" t="s">
        <v>54</v>
      </c>
      <c r="E35" s="58">
        <v>118268.0</v>
      </c>
      <c r="F35" s="56">
        <v>196.0</v>
      </c>
      <c r="G35" s="56">
        <v>312.0</v>
      </c>
      <c r="H35" s="56">
        <v>116.0</v>
      </c>
      <c r="I35" s="59">
        <v>0.5918367346938775</v>
      </c>
      <c r="J35" s="60">
        <v>26.380762336388543</v>
      </c>
      <c r="K35" s="56">
        <v>4.0</v>
      </c>
      <c r="L35" s="56">
        <v>2437.0</v>
      </c>
      <c r="M35" s="56">
        <v>1384.0</v>
      </c>
      <c r="N35" s="56">
        <v>-1053.0</v>
      </c>
      <c r="O35" s="59">
        <v>-0.43208863356585964</v>
      </c>
      <c r="P35" s="60">
        <v>117.02235600500558</v>
      </c>
      <c r="Q35" s="56">
        <v>3.0</v>
      </c>
      <c r="R35" s="41">
        <f t="shared" si="7"/>
        <v>26</v>
      </c>
      <c r="S35" s="38"/>
      <c r="T35" s="38"/>
      <c r="U35" s="38"/>
      <c r="V35" s="56">
        <v>26.0</v>
      </c>
      <c r="W35" s="30" t="s">
        <v>54</v>
      </c>
      <c r="X35" s="58">
        <v>118268.0</v>
      </c>
      <c r="Y35" s="59">
        <v>0.5918367346938775</v>
      </c>
      <c r="Z35" s="59">
        <v>-0.43208863356585964</v>
      </c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</row>
    <row r="36" ht="16.5" customHeight="1">
      <c r="A36" s="38"/>
      <c r="B36" s="38"/>
      <c r="C36" s="56">
        <v>27.0</v>
      </c>
      <c r="D36" s="57" t="s">
        <v>127</v>
      </c>
      <c r="E36" s="58">
        <v>241038.0</v>
      </c>
      <c r="F36" s="56">
        <v>164.0</v>
      </c>
      <c r="G36" s="56">
        <v>277.0</v>
      </c>
      <c r="H36" s="56">
        <v>113.0</v>
      </c>
      <c r="I36" s="59">
        <v>0.6890243902439024</v>
      </c>
      <c r="J36" s="60">
        <v>11.491963922700984</v>
      </c>
      <c r="K36" s="56">
        <v>22.0</v>
      </c>
      <c r="L36" s="56">
        <v>550.0</v>
      </c>
      <c r="M36" s="56">
        <v>383.0</v>
      </c>
      <c r="N36" s="56">
        <v>-167.0</v>
      </c>
      <c r="O36" s="59">
        <v>-0.30363636363636365</v>
      </c>
      <c r="P36" s="60">
        <v>15.889610766767065</v>
      </c>
      <c r="Q36" s="56">
        <v>43.0</v>
      </c>
      <c r="R36" s="41">
        <f t="shared" si="7"/>
        <v>27</v>
      </c>
      <c r="S36" s="38"/>
      <c r="T36" s="38"/>
      <c r="U36" s="38"/>
      <c r="V36" s="56">
        <v>27.0</v>
      </c>
      <c r="W36" s="30" t="s">
        <v>47</v>
      </c>
      <c r="X36" s="58">
        <v>241038.0</v>
      </c>
      <c r="Y36" s="59">
        <v>0.6890243902439024</v>
      </c>
      <c r="Z36" s="59">
        <v>-0.30363636363636365</v>
      </c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ht="16.5" customHeight="1">
      <c r="A37" s="38"/>
      <c r="B37" s="38"/>
      <c r="C37" s="56">
        <v>28.0</v>
      </c>
      <c r="D37" s="57" t="s">
        <v>128</v>
      </c>
      <c r="E37" s="58">
        <v>110507.0</v>
      </c>
      <c r="F37" s="56">
        <v>27.0</v>
      </c>
      <c r="G37" s="56">
        <v>25.0</v>
      </c>
      <c r="H37" s="56">
        <v>-2.0</v>
      </c>
      <c r="I37" s="59">
        <v>-0.07407407407407407</v>
      </c>
      <c r="J37" s="60">
        <v>2.262300125783887</v>
      </c>
      <c r="K37" s="56">
        <v>52.0</v>
      </c>
      <c r="L37" s="56">
        <v>93.0</v>
      </c>
      <c r="M37" s="56">
        <v>126.0</v>
      </c>
      <c r="N37" s="56">
        <v>33.0</v>
      </c>
      <c r="O37" s="59">
        <v>0.3548387096774194</v>
      </c>
      <c r="P37" s="60">
        <v>11.40199263395079</v>
      </c>
      <c r="Q37" s="56">
        <v>47.0</v>
      </c>
      <c r="R37" s="41">
        <f t="shared" si="7"/>
        <v>28</v>
      </c>
      <c r="S37" s="38"/>
      <c r="T37" s="38"/>
      <c r="U37" s="38"/>
      <c r="V37" s="56">
        <v>28.0</v>
      </c>
      <c r="W37" s="30" t="s">
        <v>86</v>
      </c>
      <c r="X37" s="58">
        <v>110507.0</v>
      </c>
      <c r="Y37" s="59">
        <v>-0.07407407407407407</v>
      </c>
      <c r="Z37" s="59">
        <v>0.3548387096774194</v>
      </c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ht="16.5" customHeight="1">
      <c r="A38" s="38"/>
      <c r="B38" s="38"/>
      <c r="C38" s="56">
        <v>29.0</v>
      </c>
      <c r="D38" s="57" t="s">
        <v>129</v>
      </c>
      <c r="E38" s="58">
        <v>44402.0</v>
      </c>
      <c r="F38" s="56">
        <v>0.0</v>
      </c>
      <c r="G38" s="56">
        <v>11.0</v>
      </c>
      <c r="H38" s="56">
        <v>11.0</v>
      </c>
      <c r="I38" s="59" t="s">
        <v>41</v>
      </c>
      <c r="J38" s="60">
        <v>2.477365884419621</v>
      </c>
      <c r="K38" s="56">
        <v>51.0</v>
      </c>
      <c r="L38" s="56">
        <v>70.0</v>
      </c>
      <c r="M38" s="56">
        <v>58.0</v>
      </c>
      <c r="N38" s="56">
        <v>-12.0</v>
      </c>
      <c r="O38" s="59">
        <v>-0.17142857142857143</v>
      </c>
      <c r="P38" s="60">
        <v>13.062474663303455</v>
      </c>
      <c r="Q38" s="56">
        <v>45.0</v>
      </c>
      <c r="R38" s="41">
        <f t="shared" si="7"/>
        <v>29</v>
      </c>
      <c r="S38" s="38"/>
      <c r="T38" s="38"/>
      <c r="U38" s="38"/>
      <c r="V38" s="56">
        <v>29.0</v>
      </c>
      <c r="W38" s="30" t="s">
        <v>97</v>
      </c>
      <c r="X38" s="58">
        <v>44402.0</v>
      </c>
      <c r="Y38" s="59" t="s">
        <v>41</v>
      </c>
      <c r="Z38" s="59">
        <v>-0.17142857142857143</v>
      </c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ht="16.5" customHeight="1">
      <c r="A39" s="38"/>
      <c r="B39" s="38"/>
      <c r="C39" s="56">
        <v>30.0</v>
      </c>
      <c r="D39" s="57" t="s">
        <v>130</v>
      </c>
      <c r="E39" s="58">
        <v>60722.0</v>
      </c>
      <c r="F39" s="56">
        <v>83.0</v>
      </c>
      <c r="G39" s="56">
        <v>116.0</v>
      </c>
      <c r="H39" s="56">
        <v>33.0</v>
      </c>
      <c r="I39" s="59">
        <v>0.39759036144578314</v>
      </c>
      <c r="J39" s="60">
        <v>19.10345509041204</v>
      </c>
      <c r="K39" s="56">
        <v>8.0</v>
      </c>
      <c r="L39" s="56">
        <v>270.0</v>
      </c>
      <c r="M39" s="56">
        <v>194.0</v>
      </c>
      <c r="N39" s="56">
        <v>-76.0</v>
      </c>
      <c r="O39" s="59">
        <v>-0.2814814814814815</v>
      </c>
      <c r="P39" s="60">
        <v>31.94888178913738</v>
      </c>
      <c r="Q39" s="56">
        <v>24.0</v>
      </c>
      <c r="R39" s="41">
        <f t="shared" si="7"/>
        <v>30</v>
      </c>
      <c r="S39" s="38"/>
      <c r="T39" s="38"/>
      <c r="U39" s="38"/>
      <c r="V39" s="56">
        <v>30.0</v>
      </c>
      <c r="W39" s="30" t="s">
        <v>75</v>
      </c>
      <c r="X39" s="58">
        <v>60722.0</v>
      </c>
      <c r="Y39" s="59">
        <v>0.39759036144578314</v>
      </c>
      <c r="Z39" s="59">
        <v>-0.2814814814814815</v>
      </c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ht="16.5" customHeight="1">
      <c r="A40" s="38"/>
      <c r="B40" s="38"/>
      <c r="C40" s="56">
        <v>31.0</v>
      </c>
      <c r="D40" s="57" t="s">
        <v>131</v>
      </c>
      <c r="E40" s="58">
        <v>92519.0</v>
      </c>
      <c r="F40" s="56">
        <v>42.0</v>
      </c>
      <c r="G40" s="56">
        <v>81.0</v>
      </c>
      <c r="H40" s="56">
        <v>39.0</v>
      </c>
      <c r="I40" s="59">
        <v>0.9285714285714286</v>
      </c>
      <c r="J40" s="60">
        <v>8.754958440968881</v>
      </c>
      <c r="K40" s="56">
        <v>29.0</v>
      </c>
      <c r="L40" s="56">
        <v>245.0</v>
      </c>
      <c r="M40" s="56">
        <v>208.0</v>
      </c>
      <c r="N40" s="56">
        <v>-37.0</v>
      </c>
      <c r="O40" s="59">
        <v>-0.1510204081632653</v>
      </c>
      <c r="P40" s="60">
        <v>22.48186858915466</v>
      </c>
      <c r="Q40" s="56">
        <v>34.0</v>
      </c>
      <c r="R40" s="41">
        <f t="shared" si="7"/>
        <v>31</v>
      </c>
      <c r="S40" s="38"/>
      <c r="T40" s="38"/>
      <c r="U40" s="38"/>
      <c r="V40" s="56">
        <v>31.0</v>
      </c>
      <c r="W40" s="30" t="s">
        <v>76</v>
      </c>
      <c r="X40" s="58">
        <v>92519.0</v>
      </c>
      <c r="Y40" s="59">
        <v>0.9285714285714286</v>
      </c>
      <c r="Z40" s="59">
        <v>-0.1510204081632653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ht="16.5" customHeight="1">
      <c r="A41" s="38"/>
      <c r="B41" s="38"/>
      <c r="C41" s="56">
        <v>32.0</v>
      </c>
      <c r="D41" s="57" t="s">
        <v>132</v>
      </c>
      <c r="E41" s="58">
        <v>480869.0</v>
      </c>
      <c r="F41" s="56">
        <v>536.0</v>
      </c>
      <c r="G41" s="56">
        <v>601.0</v>
      </c>
      <c r="H41" s="56">
        <v>65.0</v>
      </c>
      <c r="I41" s="59">
        <v>0.12126865671641791</v>
      </c>
      <c r="J41" s="60">
        <v>12.498206372213637</v>
      </c>
      <c r="K41" s="56">
        <v>16.0</v>
      </c>
      <c r="L41" s="56">
        <v>1273.0</v>
      </c>
      <c r="M41" s="56">
        <v>1376.0</v>
      </c>
      <c r="N41" s="56">
        <v>103.0</v>
      </c>
      <c r="O41" s="59">
        <v>0.08091123330714847</v>
      </c>
      <c r="P41" s="60">
        <v>28.61486184387016</v>
      </c>
      <c r="Q41" s="56">
        <v>25.0</v>
      </c>
      <c r="R41" s="41">
        <f t="shared" si="7"/>
        <v>32</v>
      </c>
      <c r="S41" s="38"/>
      <c r="T41" s="38"/>
      <c r="U41" s="38"/>
      <c r="V41" s="56">
        <v>32.0</v>
      </c>
      <c r="W41" s="30" t="s">
        <v>58</v>
      </c>
      <c r="X41" s="58">
        <v>480869.0</v>
      </c>
      <c r="Y41" s="59">
        <v>0.12126865671641791</v>
      </c>
      <c r="Z41" s="59">
        <v>0.08091123330714847</v>
      </c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ht="16.5" customHeight="1">
      <c r="A42" s="38"/>
      <c r="B42" s="38"/>
      <c r="C42" s="56">
        <v>33.0</v>
      </c>
      <c r="D42" s="57" t="s">
        <v>133</v>
      </c>
      <c r="E42" s="58">
        <v>133149.0</v>
      </c>
      <c r="F42" s="56">
        <v>432.0</v>
      </c>
      <c r="G42" s="56">
        <v>571.0</v>
      </c>
      <c r="H42" s="56">
        <v>139.0</v>
      </c>
      <c r="I42" s="59">
        <v>0.32175925925925924</v>
      </c>
      <c r="J42" s="60">
        <v>42.88428752750678</v>
      </c>
      <c r="K42" s="56">
        <v>1.0</v>
      </c>
      <c r="L42" s="56">
        <v>2141.0</v>
      </c>
      <c r="M42" s="56">
        <v>1703.0</v>
      </c>
      <c r="N42" s="56">
        <v>-438.0</v>
      </c>
      <c r="O42" s="59">
        <v>-0.20457730032695</v>
      </c>
      <c r="P42" s="60">
        <v>127.90182427205612</v>
      </c>
      <c r="Q42" s="56">
        <v>2.0</v>
      </c>
      <c r="R42" s="41">
        <f t="shared" si="7"/>
        <v>33</v>
      </c>
      <c r="S42" s="38"/>
      <c r="T42" s="38"/>
      <c r="U42" s="38"/>
      <c r="V42" s="56">
        <v>33.0</v>
      </c>
      <c r="W42" s="30" t="s">
        <v>81</v>
      </c>
      <c r="X42" s="58">
        <v>133149.0</v>
      </c>
      <c r="Y42" s="59">
        <v>0.32175925925925924</v>
      </c>
      <c r="Z42" s="59">
        <v>-0.20457730032695</v>
      </c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ht="16.5" customHeight="1">
      <c r="A43" s="38"/>
      <c r="B43" s="38"/>
      <c r="C43" s="56">
        <v>34.0</v>
      </c>
      <c r="D43" s="57" t="s">
        <v>134</v>
      </c>
      <c r="E43" s="58">
        <v>278578.0</v>
      </c>
      <c r="F43" s="56">
        <v>156.0</v>
      </c>
      <c r="G43" s="56">
        <v>237.0</v>
      </c>
      <c r="H43" s="56">
        <v>81.0</v>
      </c>
      <c r="I43" s="59">
        <v>0.5192307692307693</v>
      </c>
      <c r="J43" s="60">
        <v>8.507491618146444</v>
      </c>
      <c r="K43" s="56">
        <v>30.0</v>
      </c>
      <c r="L43" s="56">
        <v>689.0</v>
      </c>
      <c r="M43" s="56">
        <v>617.0</v>
      </c>
      <c r="N43" s="56">
        <v>-72.0</v>
      </c>
      <c r="O43" s="59">
        <v>-0.10449927431059507</v>
      </c>
      <c r="P43" s="60">
        <v>22.148195478465635</v>
      </c>
      <c r="Q43" s="56">
        <v>35.0</v>
      </c>
      <c r="R43" s="41">
        <f t="shared" si="7"/>
        <v>34</v>
      </c>
      <c r="S43" s="38"/>
      <c r="T43" s="38"/>
      <c r="U43" s="38"/>
      <c r="V43" s="56">
        <v>34.0</v>
      </c>
      <c r="W43" s="30" t="s">
        <v>64</v>
      </c>
      <c r="X43" s="58">
        <v>278578.0</v>
      </c>
      <c r="Y43" s="59">
        <v>0.5192307692307693</v>
      </c>
      <c r="Z43" s="59">
        <v>-0.10449927431059507</v>
      </c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ht="16.5" customHeight="1">
      <c r="A44" s="38"/>
      <c r="B44" s="38"/>
      <c r="C44" s="56">
        <v>35.0</v>
      </c>
      <c r="D44" s="30" t="s">
        <v>74</v>
      </c>
      <c r="E44" s="58">
        <v>70669.0</v>
      </c>
      <c r="F44" s="56">
        <v>19.0</v>
      </c>
      <c r="G44" s="56">
        <v>55.0</v>
      </c>
      <c r="H44" s="56">
        <v>36.0</v>
      </c>
      <c r="I44" s="59">
        <v>1.894736842105263</v>
      </c>
      <c r="J44" s="60">
        <v>7.782761889937596</v>
      </c>
      <c r="K44" s="56">
        <v>34.0</v>
      </c>
      <c r="L44" s="56">
        <v>174.0</v>
      </c>
      <c r="M44" s="56">
        <v>145.0</v>
      </c>
      <c r="N44" s="56">
        <v>-29.0</v>
      </c>
      <c r="O44" s="59">
        <v>-0.16666666666666666</v>
      </c>
      <c r="P44" s="60">
        <v>20.51819043710821</v>
      </c>
      <c r="Q44" s="56">
        <v>36.0</v>
      </c>
      <c r="R44" s="41">
        <f t="shared" si="7"/>
        <v>35</v>
      </c>
      <c r="S44" s="38"/>
      <c r="T44" s="38"/>
      <c r="U44" s="38"/>
      <c r="V44" s="56">
        <v>35.0</v>
      </c>
      <c r="W44" s="30" t="s">
        <v>74</v>
      </c>
      <c r="X44" s="58">
        <v>70669.0</v>
      </c>
      <c r="Y44" s="59">
        <v>1.894736842105263</v>
      </c>
      <c r="Z44" s="59">
        <v>-0.16666666666666666</v>
      </c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ht="16.5" customHeight="1">
      <c r="A45" s="38"/>
      <c r="B45" s="38"/>
      <c r="C45" s="56">
        <v>36.0</v>
      </c>
      <c r="D45" s="57" t="s">
        <v>135</v>
      </c>
      <c r="E45" s="58">
        <v>113140.0</v>
      </c>
      <c r="F45" s="56">
        <v>55.0</v>
      </c>
      <c r="G45" s="56">
        <v>62.0</v>
      </c>
      <c r="H45" s="56">
        <v>7.0</v>
      </c>
      <c r="I45" s="59">
        <v>0.12727272727272726</v>
      </c>
      <c r="J45" s="60">
        <v>5.479936362029344</v>
      </c>
      <c r="K45" s="56">
        <v>41.0</v>
      </c>
      <c r="L45" s="56">
        <v>160.0</v>
      </c>
      <c r="M45" s="56">
        <v>222.0</v>
      </c>
      <c r="N45" s="56">
        <v>62.0</v>
      </c>
      <c r="O45" s="59">
        <v>0.3875</v>
      </c>
      <c r="P45" s="60">
        <v>19.621707618879263</v>
      </c>
      <c r="Q45" s="56">
        <v>38.0</v>
      </c>
      <c r="R45" s="41">
        <f t="shared" si="7"/>
        <v>36</v>
      </c>
      <c r="S45" s="38"/>
      <c r="T45" s="38"/>
      <c r="U45" s="38"/>
      <c r="V45" s="56">
        <v>36.0</v>
      </c>
      <c r="W45" s="30" t="s">
        <v>90</v>
      </c>
      <c r="X45" s="58">
        <v>113140.0</v>
      </c>
      <c r="Y45" s="59">
        <v>0.12727272727272726</v>
      </c>
      <c r="Z45" s="59">
        <v>0.3875</v>
      </c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ht="16.5" customHeight="1">
      <c r="A46" s="38"/>
      <c r="B46" s="38"/>
      <c r="C46" s="56">
        <v>37.0</v>
      </c>
      <c r="D46" s="57" t="s">
        <v>136</v>
      </c>
      <c r="E46" s="58">
        <v>218485.0</v>
      </c>
      <c r="F46" s="56">
        <v>201.0</v>
      </c>
      <c r="G46" s="56">
        <v>262.0</v>
      </c>
      <c r="H46" s="56">
        <v>61.0</v>
      </c>
      <c r="I46" s="59">
        <v>0.3034825870646766</v>
      </c>
      <c r="J46" s="60">
        <v>11.991669908689383</v>
      </c>
      <c r="K46" s="56">
        <v>20.0</v>
      </c>
      <c r="L46" s="56">
        <v>783.0</v>
      </c>
      <c r="M46" s="56">
        <v>787.0</v>
      </c>
      <c r="N46" s="56">
        <v>4.0</v>
      </c>
      <c r="O46" s="59">
        <v>0.005108556832694764</v>
      </c>
      <c r="P46" s="60">
        <v>36.02077945854406</v>
      </c>
      <c r="Q46" s="56">
        <v>20.0</v>
      </c>
      <c r="R46" s="41">
        <f t="shared" si="7"/>
        <v>37</v>
      </c>
      <c r="S46" s="38"/>
      <c r="T46" s="38"/>
      <c r="U46" s="38"/>
      <c r="V46" s="56">
        <v>37.0</v>
      </c>
      <c r="W46" s="30" t="s">
        <v>44</v>
      </c>
      <c r="X46" s="58">
        <v>218485.0</v>
      </c>
      <c r="Y46" s="59">
        <v>0.3034825870646766</v>
      </c>
      <c r="Z46" s="59">
        <v>0.005108556832694764</v>
      </c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ht="16.5" customHeight="1">
      <c r="A47" s="38"/>
      <c r="B47" s="38"/>
      <c r="C47" s="56">
        <v>38.0</v>
      </c>
      <c r="D47" s="57" t="s">
        <v>137</v>
      </c>
      <c r="E47" s="58">
        <v>7620.0</v>
      </c>
      <c r="F47" s="56">
        <v>0.0</v>
      </c>
      <c r="G47" s="56">
        <v>2.0</v>
      </c>
      <c r="H47" s="56">
        <v>2.0</v>
      </c>
      <c r="I47" s="59" t="s">
        <v>41</v>
      </c>
      <c r="J47" s="60">
        <v>2.6246719160104988</v>
      </c>
      <c r="K47" s="56">
        <v>50.0</v>
      </c>
      <c r="L47" s="56">
        <v>0.0</v>
      </c>
      <c r="M47" s="56">
        <v>1.0</v>
      </c>
      <c r="N47" s="56">
        <v>1.0</v>
      </c>
      <c r="O47" s="59" t="s">
        <v>41</v>
      </c>
      <c r="P47" s="60">
        <v>1.3123359580052494</v>
      </c>
      <c r="Q47" s="56">
        <v>54.0</v>
      </c>
      <c r="R47" s="41">
        <f t="shared" si="7"/>
        <v>38</v>
      </c>
      <c r="S47" s="38"/>
      <c r="T47" s="38"/>
      <c r="U47" s="38"/>
      <c r="V47" s="56">
        <v>38.0</v>
      </c>
      <c r="W47" s="30" t="s">
        <v>96</v>
      </c>
      <c r="X47" s="58">
        <v>7620.0</v>
      </c>
      <c r="Y47" s="59" t="s">
        <v>41</v>
      </c>
      <c r="Z47" s="59" t="s">
        <v>41</v>
      </c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ht="16.5" customHeight="1">
      <c r="A48" s="38"/>
      <c r="B48" s="38"/>
      <c r="C48" s="56">
        <v>39.0</v>
      </c>
      <c r="D48" s="57" t="s">
        <v>138</v>
      </c>
      <c r="E48" s="58">
        <v>324754.0</v>
      </c>
      <c r="F48" s="56">
        <v>229.0</v>
      </c>
      <c r="G48" s="56">
        <v>275.0</v>
      </c>
      <c r="H48" s="56">
        <v>46.0</v>
      </c>
      <c r="I48" s="59">
        <v>0.20087336244541484</v>
      </c>
      <c r="J48" s="60">
        <v>8.467948046829292</v>
      </c>
      <c r="K48" s="56">
        <v>31.0</v>
      </c>
      <c r="L48" s="56">
        <v>871.0</v>
      </c>
      <c r="M48" s="56">
        <v>1174.0</v>
      </c>
      <c r="N48" s="56">
        <v>303.0</v>
      </c>
      <c r="O48" s="59">
        <v>0.3478760045924225</v>
      </c>
      <c r="P48" s="60">
        <v>36.15044002537305</v>
      </c>
      <c r="Q48" s="56">
        <v>18.0</v>
      </c>
      <c r="R48" s="41">
        <f t="shared" si="7"/>
        <v>39</v>
      </c>
      <c r="S48" s="38"/>
      <c r="T48" s="38"/>
      <c r="U48" s="38"/>
      <c r="V48" s="56">
        <v>39.0</v>
      </c>
      <c r="W48" s="30" t="s">
        <v>59</v>
      </c>
      <c r="X48" s="58">
        <v>324754.0</v>
      </c>
      <c r="Y48" s="59">
        <v>0.20087336244541484</v>
      </c>
      <c r="Z48" s="59">
        <v>0.3478760045924225</v>
      </c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ht="16.5" customHeight="1">
      <c r="A49" s="38"/>
      <c r="B49" s="38"/>
      <c r="C49" s="56">
        <v>40.0</v>
      </c>
      <c r="D49" s="57" t="s">
        <v>139</v>
      </c>
      <c r="E49" s="58">
        <v>226936.0</v>
      </c>
      <c r="F49" s="56">
        <v>10.0</v>
      </c>
      <c r="G49" s="56">
        <v>67.0</v>
      </c>
      <c r="H49" s="56">
        <v>57.0</v>
      </c>
      <c r="I49" s="59">
        <v>5.7</v>
      </c>
      <c r="J49" s="60">
        <v>2.952374237670533</v>
      </c>
      <c r="K49" s="56">
        <v>49.0</v>
      </c>
      <c r="L49" s="56">
        <v>278.0</v>
      </c>
      <c r="M49" s="56">
        <v>374.0</v>
      </c>
      <c r="N49" s="56">
        <v>96.0</v>
      </c>
      <c r="O49" s="59">
        <v>0.34532374100719426</v>
      </c>
      <c r="P49" s="60">
        <v>16.48041738639969</v>
      </c>
      <c r="Q49" s="56">
        <v>41.0</v>
      </c>
      <c r="R49" s="41">
        <f t="shared" si="7"/>
        <v>40</v>
      </c>
      <c r="S49" s="38"/>
      <c r="T49" s="38"/>
      <c r="U49" s="38"/>
      <c r="V49" s="56">
        <v>40.0</v>
      </c>
      <c r="W49" s="30" t="s">
        <v>87</v>
      </c>
      <c r="X49" s="58">
        <v>226936.0</v>
      </c>
      <c r="Y49" s="59">
        <v>5.7</v>
      </c>
      <c r="Z49" s="59">
        <v>0.34532374100719426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ht="16.5" customHeight="1">
      <c r="A50" s="38"/>
      <c r="B50" s="38"/>
      <c r="C50" s="56">
        <v>41.0</v>
      </c>
      <c r="D50" s="57" t="s">
        <v>140</v>
      </c>
      <c r="E50" s="58">
        <v>21919.0</v>
      </c>
      <c r="F50" s="56">
        <v>15.0</v>
      </c>
      <c r="G50" s="56">
        <v>23.0</v>
      </c>
      <c r="H50" s="56">
        <v>8.0</v>
      </c>
      <c r="I50" s="59">
        <v>0.5333333333333333</v>
      </c>
      <c r="J50" s="60">
        <v>10.49317943336831</v>
      </c>
      <c r="K50" s="56">
        <v>23.0</v>
      </c>
      <c r="L50" s="56">
        <v>46.0</v>
      </c>
      <c r="M50" s="56">
        <v>52.0</v>
      </c>
      <c r="N50" s="56">
        <v>6.0</v>
      </c>
      <c r="O50" s="59">
        <v>0.13043478260869565</v>
      </c>
      <c r="P50" s="60">
        <v>23.723710023267486</v>
      </c>
      <c r="Q50" s="56">
        <v>29.0</v>
      </c>
      <c r="R50" s="41">
        <f t="shared" si="7"/>
        <v>41</v>
      </c>
      <c r="S50" s="38"/>
      <c r="T50" s="38"/>
      <c r="U50" s="38"/>
      <c r="V50" s="56">
        <v>41.0</v>
      </c>
      <c r="W50" s="30" t="s">
        <v>91</v>
      </c>
      <c r="X50" s="58">
        <v>21919.0</v>
      </c>
      <c r="Y50" s="59">
        <v>0.5333333333333333</v>
      </c>
      <c r="Z50" s="59">
        <v>0.13043478260869565</v>
      </c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ht="16.5" customHeight="1">
      <c r="A51" s="38"/>
      <c r="B51" s="38"/>
      <c r="C51" s="56">
        <v>42.0</v>
      </c>
      <c r="D51" s="57" t="s">
        <v>141</v>
      </c>
      <c r="E51" s="58">
        <v>81968.0</v>
      </c>
      <c r="F51" s="56">
        <v>18.0</v>
      </c>
      <c r="G51" s="56">
        <v>99.0</v>
      </c>
      <c r="H51" s="56">
        <v>81.0</v>
      </c>
      <c r="I51" s="59">
        <v>4.5</v>
      </c>
      <c r="J51" s="60">
        <v>12.077884052313097</v>
      </c>
      <c r="K51" s="56">
        <v>18.0</v>
      </c>
      <c r="L51" s="56">
        <v>306.0</v>
      </c>
      <c r="M51" s="56">
        <v>278.0</v>
      </c>
      <c r="N51" s="56">
        <v>-28.0</v>
      </c>
      <c r="O51" s="59">
        <v>-0.0915032679738562</v>
      </c>
      <c r="P51" s="60">
        <v>33.91567440952567</v>
      </c>
      <c r="Q51" s="56">
        <v>21.0</v>
      </c>
      <c r="R51" s="41">
        <f t="shared" si="7"/>
        <v>42</v>
      </c>
      <c r="S51" s="38"/>
      <c r="T51" s="38"/>
      <c r="U51" s="38"/>
      <c r="V51" s="56">
        <v>42.0</v>
      </c>
      <c r="W51" s="30" t="s">
        <v>66</v>
      </c>
      <c r="X51" s="58">
        <v>81968.0</v>
      </c>
      <c r="Y51" s="59">
        <v>4.5</v>
      </c>
      <c r="Z51" s="59">
        <v>-0.0915032679738562</v>
      </c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ht="16.5" customHeight="1">
      <c r="A52" s="38"/>
      <c r="B52" s="38"/>
      <c r="C52" s="56">
        <v>43.0</v>
      </c>
      <c r="D52" s="57" t="s">
        <v>142</v>
      </c>
      <c r="E52" s="58">
        <v>21789.0</v>
      </c>
      <c r="F52" s="56">
        <v>8.0</v>
      </c>
      <c r="G52" s="56">
        <v>13.0</v>
      </c>
      <c r="H52" s="56">
        <v>5.0</v>
      </c>
      <c r="I52" s="59">
        <v>0.625</v>
      </c>
      <c r="J52" s="60">
        <v>5.9663132773417775</v>
      </c>
      <c r="K52" s="56">
        <v>40.0</v>
      </c>
      <c r="L52" s="56">
        <v>30.0</v>
      </c>
      <c r="M52" s="56">
        <v>70.0</v>
      </c>
      <c r="N52" s="56">
        <v>40.0</v>
      </c>
      <c r="O52" s="59">
        <v>1.3333333333333333</v>
      </c>
      <c r="P52" s="60">
        <v>32.12630226260957</v>
      </c>
      <c r="Q52" s="56">
        <v>23.0</v>
      </c>
      <c r="R52" s="41">
        <f t="shared" si="7"/>
        <v>43</v>
      </c>
      <c r="S52" s="38"/>
      <c r="T52" s="38"/>
      <c r="U52" s="38"/>
      <c r="V52" s="56">
        <v>43.0</v>
      </c>
      <c r="W52" s="30" t="s">
        <v>83</v>
      </c>
      <c r="X52" s="58">
        <v>21789.0</v>
      </c>
      <c r="Y52" s="59">
        <v>0.625</v>
      </c>
      <c r="Z52" s="59">
        <v>1.3333333333333333</v>
      </c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ht="16.5" customHeight="1">
      <c r="A53" s="38"/>
      <c r="B53" s="38"/>
      <c r="C53" s="56">
        <v>44.0</v>
      </c>
      <c r="D53" s="57" t="s">
        <v>143</v>
      </c>
      <c r="E53" s="58">
        <v>66079.0</v>
      </c>
      <c r="F53" s="56">
        <v>33.0</v>
      </c>
      <c r="G53" s="56">
        <v>51.0</v>
      </c>
      <c r="H53" s="56">
        <v>18.0</v>
      </c>
      <c r="I53" s="59">
        <v>0.5454545454545454</v>
      </c>
      <c r="J53" s="60">
        <v>7.718034473887316</v>
      </c>
      <c r="K53" s="56">
        <v>35.0</v>
      </c>
      <c r="L53" s="56">
        <v>40.0</v>
      </c>
      <c r="M53" s="56">
        <v>153.0</v>
      </c>
      <c r="N53" s="56">
        <v>113.0</v>
      </c>
      <c r="O53" s="59">
        <v>2.825</v>
      </c>
      <c r="P53" s="60">
        <v>23.15410342166195</v>
      </c>
      <c r="Q53" s="56">
        <v>31.0</v>
      </c>
      <c r="R53" s="41">
        <f t="shared" si="7"/>
        <v>44</v>
      </c>
      <c r="S53" s="38"/>
      <c r="T53" s="38"/>
      <c r="U53" s="38"/>
      <c r="V53" s="56">
        <v>44.0</v>
      </c>
      <c r="W53" s="30" t="s">
        <v>89</v>
      </c>
      <c r="X53" s="58">
        <v>66079.0</v>
      </c>
      <c r="Y53" s="59">
        <v>0.5454545454545454</v>
      </c>
      <c r="Z53" s="59">
        <v>2.825</v>
      </c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ht="16.5" customHeight="1">
      <c r="A54" s="38"/>
      <c r="B54" s="38"/>
      <c r="C54" s="56">
        <v>45.0</v>
      </c>
      <c r="D54" s="57" t="s">
        <v>144</v>
      </c>
      <c r="E54" s="58">
        <v>194589.0</v>
      </c>
      <c r="F54" s="56">
        <v>347.0</v>
      </c>
      <c r="G54" s="56">
        <v>424.0</v>
      </c>
      <c r="H54" s="56">
        <v>77.0</v>
      </c>
      <c r="I54" s="59">
        <v>0.2219020172910663</v>
      </c>
      <c r="J54" s="60">
        <v>21.78951533745484</v>
      </c>
      <c r="K54" s="56">
        <v>5.0</v>
      </c>
      <c r="L54" s="56">
        <v>946.0</v>
      </c>
      <c r="M54" s="56">
        <v>1098.0</v>
      </c>
      <c r="N54" s="56">
        <v>152.0</v>
      </c>
      <c r="O54" s="59">
        <v>0.160676532769556</v>
      </c>
      <c r="P54" s="60">
        <v>56.42662226539013</v>
      </c>
      <c r="Q54" s="56">
        <v>11.0</v>
      </c>
      <c r="R54" s="41">
        <f t="shared" si="7"/>
        <v>45</v>
      </c>
      <c r="S54" s="38"/>
      <c r="T54" s="38"/>
      <c r="U54" s="38"/>
      <c r="V54" s="56">
        <v>45.0</v>
      </c>
      <c r="W54" s="30" t="s">
        <v>78</v>
      </c>
      <c r="X54" s="58">
        <v>194589.0</v>
      </c>
      <c r="Y54" s="59">
        <v>0.2219020172910663</v>
      </c>
      <c r="Z54" s="59">
        <v>0.160676532769556</v>
      </c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</row>
    <row r="55" ht="16.5" customHeight="1">
      <c r="A55" s="38"/>
      <c r="B55" s="38"/>
      <c r="C55" s="56">
        <v>46.0</v>
      </c>
      <c r="D55" s="57" t="s">
        <v>145</v>
      </c>
      <c r="E55" s="58">
        <v>36534.0</v>
      </c>
      <c r="F55" s="56">
        <v>45.0</v>
      </c>
      <c r="G55" s="56">
        <v>119.0</v>
      </c>
      <c r="H55" s="56">
        <v>74.0</v>
      </c>
      <c r="I55" s="59">
        <v>1.6444444444444444</v>
      </c>
      <c r="J55" s="60">
        <v>32.572398313899384</v>
      </c>
      <c r="K55" s="56">
        <v>2.0</v>
      </c>
      <c r="L55" s="56">
        <v>89.0</v>
      </c>
      <c r="M55" s="56">
        <v>83.0</v>
      </c>
      <c r="N55" s="56">
        <v>-6.0</v>
      </c>
      <c r="O55" s="59">
        <v>-0.06741573033707865</v>
      </c>
      <c r="P55" s="60">
        <v>22.718563529862593</v>
      </c>
      <c r="Q55" s="56">
        <v>33.0</v>
      </c>
      <c r="R55" s="41">
        <f t="shared" si="7"/>
        <v>46</v>
      </c>
      <c r="S55" s="38"/>
      <c r="T55" s="38"/>
      <c r="U55" s="38"/>
      <c r="V55" s="56">
        <v>46.0</v>
      </c>
      <c r="W55" s="30" t="s">
        <v>57</v>
      </c>
      <c r="X55" s="58">
        <v>36534.0</v>
      </c>
      <c r="Y55" s="59">
        <v>1.6444444444444444</v>
      </c>
      <c r="Z55" s="59">
        <v>-0.06741573033707865</v>
      </c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</row>
    <row r="56" ht="16.5" customHeight="1">
      <c r="A56" s="38"/>
      <c r="B56" s="38"/>
      <c r="C56" s="56">
        <v>47.0</v>
      </c>
      <c r="D56" s="57" t="s">
        <v>146</v>
      </c>
      <c r="E56" s="58">
        <v>148369.0</v>
      </c>
      <c r="F56" s="56">
        <v>144.0</v>
      </c>
      <c r="G56" s="56">
        <v>219.0</v>
      </c>
      <c r="H56" s="56">
        <v>75.0</v>
      </c>
      <c r="I56" s="59">
        <v>0.5208333333333334</v>
      </c>
      <c r="J56" s="60">
        <v>14.760495790899716</v>
      </c>
      <c r="K56" s="56">
        <v>12.0</v>
      </c>
      <c r="L56" s="56">
        <v>600.0</v>
      </c>
      <c r="M56" s="56">
        <v>715.0</v>
      </c>
      <c r="N56" s="56">
        <v>115.0</v>
      </c>
      <c r="O56" s="59">
        <v>0.19166666666666668</v>
      </c>
      <c r="P56" s="60">
        <v>48.190659773941995</v>
      </c>
      <c r="Q56" s="56">
        <v>12.0</v>
      </c>
      <c r="R56" s="41">
        <f t="shared" si="7"/>
        <v>47</v>
      </c>
      <c r="S56" s="38"/>
      <c r="T56" s="38"/>
      <c r="U56" s="38"/>
      <c r="V56" s="56">
        <v>47.0</v>
      </c>
      <c r="W56" s="30" t="s">
        <v>67</v>
      </c>
      <c r="X56" s="58">
        <v>148369.0</v>
      </c>
      <c r="Y56" s="59">
        <v>0.5208333333333334</v>
      </c>
      <c r="Z56" s="59">
        <v>0.19166666666666668</v>
      </c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</row>
    <row r="57" ht="16.5" customHeight="1">
      <c r="A57" s="38"/>
      <c r="B57" s="38"/>
      <c r="C57" s="56">
        <v>48.0</v>
      </c>
      <c r="D57" s="57" t="s">
        <v>147</v>
      </c>
      <c r="E57" s="58">
        <v>64223.0</v>
      </c>
      <c r="F57" s="56">
        <v>19.0</v>
      </c>
      <c r="G57" s="56">
        <v>66.0</v>
      </c>
      <c r="H57" s="56">
        <v>47.0</v>
      </c>
      <c r="I57" s="59">
        <v>2.473684210526316</v>
      </c>
      <c r="J57" s="60">
        <v>10.2766921507871</v>
      </c>
      <c r="K57" s="56">
        <v>24.0</v>
      </c>
      <c r="L57" s="56">
        <v>217.0</v>
      </c>
      <c r="M57" s="56">
        <v>232.0</v>
      </c>
      <c r="N57" s="56">
        <v>15.0</v>
      </c>
      <c r="O57" s="59">
        <v>0.06912442396313365</v>
      </c>
      <c r="P57" s="60">
        <v>36.12412998458496</v>
      </c>
      <c r="Q57" s="56">
        <v>19.0</v>
      </c>
      <c r="R57" s="41">
        <f t="shared" si="7"/>
        <v>48</v>
      </c>
      <c r="S57" s="38"/>
      <c r="T57" s="38"/>
      <c r="U57" s="38"/>
      <c r="V57" s="56">
        <v>48.0</v>
      </c>
      <c r="W57" s="30" t="s">
        <v>68</v>
      </c>
      <c r="X57" s="58">
        <v>64223.0</v>
      </c>
      <c r="Y57" s="59">
        <v>2.473684210526316</v>
      </c>
      <c r="Z57" s="59">
        <v>0.06912442396313365</v>
      </c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</row>
    <row r="58" ht="16.5" customHeight="1">
      <c r="A58" s="38"/>
      <c r="B58" s="38"/>
      <c r="C58" s="56">
        <v>49.0</v>
      </c>
      <c r="D58" s="57" t="s">
        <v>148</v>
      </c>
      <c r="E58" s="58">
        <v>160613.0</v>
      </c>
      <c r="F58" s="56">
        <v>128.0</v>
      </c>
      <c r="G58" s="56">
        <v>242.0</v>
      </c>
      <c r="H58" s="56">
        <v>114.0</v>
      </c>
      <c r="I58" s="59">
        <v>0.890625</v>
      </c>
      <c r="J58" s="60">
        <v>15.067273508371054</v>
      </c>
      <c r="K58" s="56">
        <v>11.0</v>
      </c>
      <c r="L58" s="56">
        <v>638.0</v>
      </c>
      <c r="M58" s="56">
        <v>688.0</v>
      </c>
      <c r="N58" s="56">
        <v>50.0</v>
      </c>
      <c r="O58" s="59">
        <v>0.07836990595611286</v>
      </c>
      <c r="P58" s="60">
        <v>42.83588501553423</v>
      </c>
      <c r="Q58" s="56">
        <v>14.0</v>
      </c>
      <c r="R58" s="41">
        <f t="shared" si="7"/>
        <v>49</v>
      </c>
      <c r="S58" s="38"/>
      <c r="T58" s="38"/>
      <c r="U58" s="38"/>
      <c r="V58" s="56">
        <v>49.0</v>
      </c>
      <c r="W58" s="30" t="s">
        <v>71</v>
      </c>
      <c r="X58" s="58">
        <v>160613.0</v>
      </c>
      <c r="Y58" s="59">
        <v>0.890625</v>
      </c>
      <c r="Z58" s="59">
        <v>0.07836990595611286</v>
      </c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</row>
    <row r="59" ht="16.5" customHeight="1">
      <c r="A59" s="38"/>
      <c r="B59" s="38"/>
      <c r="C59" s="56">
        <v>50.0</v>
      </c>
      <c r="D59" s="57" t="s">
        <v>149</v>
      </c>
      <c r="E59" s="58">
        <v>65122.0</v>
      </c>
      <c r="F59" s="56">
        <v>45.0</v>
      </c>
      <c r="G59" s="56">
        <v>79.0</v>
      </c>
      <c r="H59" s="56">
        <v>34.0</v>
      </c>
      <c r="I59" s="59">
        <v>0.7555555555555555</v>
      </c>
      <c r="J59" s="60">
        <v>12.131077055372993</v>
      </c>
      <c r="K59" s="56">
        <v>17.0</v>
      </c>
      <c r="L59" s="56">
        <v>180.0</v>
      </c>
      <c r="M59" s="56">
        <v>241.0</v>
      </c>
      <c r="N59" s="56">
        <v>61.0</v>
      </c>
      <c r="O59" s="59">
        <v>0.3388888888888889</v>
      </c>
      <c r="P59" s="60">
        <v>37.00746291575812</v>
      </c>
      <c r="Q59" s="56">
        <v>17.0</v>
      </c>
      <c r="R59" s="41">
        <f t="shared" si="7"/>
        <v>50</v>
      </c>
      <c r="S59" s="38"/>
      <c r="T59" s="38"/>
      <c r="U59" s="38"/>
      <c r="V59" s="56">
        <v>50.0</v>
      </c>
      <c r="W59" s="30" t="s">
        <v>70</v>
      </c>
      <c r="X59" s="58">
        <v>65122.0</v>
      </c>
      <c r="Y59" s="59">
        <v>0.7555555555555555</v>
      </c>
      <c r="Z59" s="59">
        <v>0.3388888888888889</v>
      </c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</row>
    <row r="60" ht="16.5" customHeight="1">
      <c r="A60" s="38"/>
      <c r="B60" s="38"/>
      <c r="C60" s="56">
        <v>51.0</v>
      </c>
      <c r="D60" s="57" t="s">
        <v>150</v>
      </c>
      <c r="E60" s="58">
        <v>66371.0</v>
      </c>
      <c r="F60" s="56">
        <v>84.0</v>
      </c>
      <c r="G60" s="56">
        <v>124.0</v>
      </c>
      <c r="H60" s="56">
        <v>40.0</v>
      </c>
      <c r="I60" s="59">
        <v>0.47619047619047616</v>
      </c>
      <c r="J60" s="60">
        <v>18.682858477347033</v>
      </c>
      <c r="K60" s="56">
        <v>9.0</v>
      </c>
      <c r="L60" s="56">
        <v>312.0</v>
      </c>
      <c r="M60" s="56">
        <v>377.0</v>
      </c>
      <c r="N60" s="56">
        <v>65.0</v>
      </c>
      <c r="O60" s="59">
        <v>0.20833333333333334</v>
      </c>
      <c r="P60" s="60">
        <v>56.80191649967606</v>
      </c>
      <c r="Q60" s="56">
        <v>10.0</v>
      </c>
      <c r="R60" s="41">
        <f t="shared" si="7"/>
        <v>51</v>
      </c>
      <c r="S60" s="38"/>
      <c r="T60" s="38"/>
      <c r="U60" s="38"/>
      <c r="V60" s="56">
        <v>51.0</v>
      </c>
      <c r="W60" s="30" t="s">
        <v>56</v>
      </c>
      <c r="X60" s="58">
        <v>66371.0</v>
      </c>
      <c r="Y60" s="59">
        <v>0.47619047619047616</v>
      </c>
      <c r="Z60" s="59">
        <v>0.20833333333333334</v>
      </c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</row>
    <row r="61" ht="16.5" customHeight="1">
      <c r="A61" s="38"/>
      <c r="B61" s="38"/>
      <c r="C61" s="56">
        <v>52.0</v>
      </c>
      <c r="D61" s="30" t="s">
        <v>92</v>
      </c>
      <c r="E61" s="58">
        <v>23475.0</v>
      </c>
      <c r="F61" s="56">
        <v>3.0</v>
      </c>
      <c r="G61" s="56">
        <v>15.0</v>
      </c>
      <c r="H61" s="56">
        <v>12.0</v>
      </c>
      <c r="I61" s="59">
        <v>4.0</v>
      </c>
      <c r="J61" s="60">
        <v>6.389776357827476</v>
      </c>
      <c r="K61" s="56">
        <v>38.0</v>
      </c>
      <c r="L61" s="56">
        <v>91.0</v>
      </c>
      <c r="M61" s="56">
        <v>263.0</v>
      </c>
      <c r="N61" s="56">
        <v>172.0</v>
      </c>
      <c r="O61" s="59">
        <v>1.89010989010989</v>
      </c>
      <c r="P61" s="60">
        <v>112.03407880724174</v>
      </c>
      <c r="Q61" s="56">
        <v>4.0</v>
      </c>
      <c r="R61" s="41">
        <f t="shared" si="7"/>
        <v>52</v>
      </c>
      <c r="S61" s="38"/>
      <c r="T61" s="38"/>
      <c r="U61" s="38"/>
      <c r="V61" s="61">
        <v>52.0</v>
      </c>
      <c r="W61" s="62" t="s">
        <v>92</v>
      </c>
      <c r="X61" s="63">
        <v>23475.0</v>
      </c>
      <c r="Y61" s="64">
        <v>4.0</v>
      </c>
      <c r="Z61" s="64">
        <v>1.89010989010989</v>
      </c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</row>
    <row r="62" ht="16.5" customHeight="1">
      <c r="A62" s="38"/>
      <c r="B62" s="38"/>
      <c r="C62" s="56">
        <v>53.0</v>
      </c>
      <c r="D62" s="57" t="s">
        <v>151</v>
      </c>
      <c r="E62" s="58">
        <v>79513.0</v>
      </c>
      <c r="F62" s="56">
        <v>75.0</v>
      </c>
      <c r="G62" s="56">
        <v>130.0</v>
      </c>
      <c r="H62" s="56">
        <v>55.0</v>
      </c>
      <c r="I62" s="59">
        <v>0.7333333333333333</v>
      </c>
      <c r="J62" s="60">
        <v>16.349527750179217</v>
      </c>
      <c r="K62" s="56">
        <v>10.0</v>
      </c>
      <c r="L62" s="56">
        <v>386.0</v>
      </c>
      <c r="M62" s="56">
        <v>527.0</v>
      </c>
      <c r="N62" s="56">
        <v>141.0</v>
      </c>
      <c r="O62" s="59">
        <v>0.36528497409326427</v>
      </c>
      <c r="P62" s="60">
        <v>66.27847018726497</v>
      </c>
      <c r="Q62" s="56">
        <v>8.0</v>
      </c>
      <c r="R62" s="41">
        <f t="shared" si="7"/>
        <v>53</v>
      </c>
      <c r="S62" s="38"/>
      <c r="T62" s="38"/>
      <c r="U62" s="38"/>
      <c r="V62" s="61">
        <v>53.0</v>
      </c>
      <c r="W62" s="62" t="s">
        <v>61</v>
      </c>
      <c r="X62" s="63">
        <v>79513.0</v>
      </c>
      <c r="Y62" s="64">
        <v>0.7333333333333333</v>
      </c>
      <c r="Z62" s="64">
        <v>0.36528497409326427</v>
      </c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</row>
    <row r="63" ht="16.5" customHeight="1">
      <c r="A63" s="38"/>
      <c r="B63" s="38"/>
      <c r="C63" s="56">
        <v>54.0</v>
      </c>
      <c r="D63" s="57" t="s">
        <v>152</v>
      </c>
      <c r="E63" s="58">
        <v>209616.0</v>
      </c>
      <c r="F63" s="56">
        <v>133.0</v>
      </c>
      <c r="G63" s="56">
        <v>253.0</v>
      </c>
      <c r="H63" s="56">
        <v>120.0</v>
      </c>
      <c r="I63" s="59">
        <v>0.9022556390977443</v>
      </c>
      <c r="J63" s="60">
        <v>12.069689336691855</v>
      </c>
      <c r="K63" s="56">
        <v>19.0</v>
      </c>
      <c r="L63" s="56">
        <v>335.0</v>
      </c>
      <c r="M63" s="56">
        <v>852.0</v>
      </c>
      <c r="N63" s="56">
        <v>517.0</v>
      </c>
      <c r="O63" s="59">
        <v>1.5432835820895523</v>
      </c>
      <c r="P63" s="60">
        <v>40.645752232654</v>
      </c>
      <c r="Q63" s="56">
        <v>16.0</v>
      </c>
      <c r="R63" s="41">
        <f t="shared" si="7"/>
        <v>54</v>
      </c>
      <c r="S63" s="38"/>
      <c r="T63" s="38"/>
      <c r="U63" s="38"/>
      <c r="V63" s="61">
        <v>54.0</v>
      </c>
      <c r="W63" s="62" t="s">
        <v>63</v>
      </c>
      <c r="X63" s="63">
        <v>209616.0</v>
      </c>
      <c r="Y63" s="64">
        <v>0.9022556390977443</v>
      </c>
      <c r="Z63" s="64">
        <v>1.5432835820895523</v>
      </c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</row>
    <row r="64" ht="16.5" customHeight="1">
      <c r="A64" s="38"/>
      <c r="B64" s="38"/>
      <c r="C64" s="56">
        <v>55.0</v>
      </c>
      <c r="D64" s="57" t="s">
        <v>153</v>
      </c>
      <c r="E64" s="58">
        <v>172848.0</v>
      </c>
      <c r="F64" s="56">
        <v>200.0</v>
      </c>
      <c r="G64" s="56">
        <v>486.0</v>
      </c>
      <c r="H64" s="56">
        <v>286.0</v>
      </c>
      <c r="I64" s="59">
        <v>1.43</v>
      </c>
      <c r="J64" s="60">
        <v>28.11718966953624</v>
      </c>
      <c r="K64" s="56">
        <v>3.0</v>
      </c>
      <c r="L64" s="56">
        <v>975.0</v>
      </c>
      <c r="M64" s="56">
        <v>1621.0</v>
      </c>
      <c r="N64" s="56">
        <v>646.0</v>
      </c>
      <c r="O64" s="59">
        <v>0.6625641025641026</v>
      </c>
      <c r="P64" s="60">
        <v>93.78181986485235</v>
      </c>
      <c r="Q64" s="56">
        <v>5.0</v>
      </c>
      <c r="R64" s="41">
        <f t="shared" si="7"/>
        <v>55</v>
      </c>
      <c r="S64" s="38"/>
      <c r="T64" s="38"/>
      <c r="U64" s="38"/>
      <c r="V64" s="61">
        <v>55.0</v>
      </c>
      <c r="W64" s="62" t="s">
        <v>60</v>
      </c>
      <c r="X64" s="63">
        <v>172848.0</v>
      </c>
      <c r="Y64" s="64">
        <v>1.43</v>
      </c>
      <c r="Z64" s="64">
        <v>0.6625641025641026</v>
      </c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</row>
    <row r="65" ht="16.5" customHeight="1">
      <c r="A65" s="38"/>
      <c r="B65" s="38"/>
      <c r="C65" s="56">
        <v>56.0</v>
      </c>
      <c r="D65" s="57" t="s">
        <v>154</v>
      </c>
      <c r="E65" s="58">
        <v>164318.0</v>
      </c>
      <c r="F65" s="56">
        <v>44.0</v>
      </c>
      <c r="G65" s="56">
        <v>220.0</v>
      </c>
      <c r="H65" s="56">
        <v>176.0</v>
      </c>
      <c r="I65" s="59">
        <v>4.0</v>
      </c>
      <c r="J65" s="60">
        <v>13.388673182487615</v>
      </c>
      <c r="K65" s="56">
        <v>14.0</v>
      </c>
      <c r="L65" s="56">
        <v>962.0</v>
      </c>
      <c r="M65" s="56">
        <v>2203.0</v>
      </c>
      <c r="N65" s="56">
        <v>1241.0</v>
      </c>
      <c r="O65" s="59">
        <v>1.29002079002079</v>
      </c>
      <c r="P65" s="60">
        <v>134.069304641001</v>
      </c>
      <c r="Q65" s="56">
        <v>1.0</v>
      </c>
      <c r="R65" s="41">
        <f t="shared" si="7"/>
        <v>56</v>
      </c>
      <c r="S65" s="38"/>
      <c r="T65" s="38"/>
      <c r="U65" s="38"/>
      <c r="V65" s="61">
        <v>56.0</v>
      </c>
      <c r="W65" s="62" t="s">
        <v>69</v>
      </c>
      <c r="X65" s="63">
        <v>164318.0</v>
      </c>
      <c r="Y65" s="64">
        <v>4.0</v>
      </c>
      <c r="Z65" s="64">
        <v>1.29002079002079</v>
      </c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</row>
    <row r="66" ht="16.5" customHeight="1">
      <c r="A66" s="38"/>
      <c r="B66" s="38"/>
      <c r="C66" s="39"/>
      <c r="D66" s="38"/>
      <c r="E66" s="42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41"/>
      <c r="S66" s="38"/>
      <c r="T66" s="38"/>
      <c r="U66" s="38"/>
      <c r="V66" s="39"/>
      <c r="W66" s="38"/>
      <c r="X66" s="42"/>
      <c r="Y66" s="39"/>
      <c r="Z66" s="39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</row>
    <row r="67" ht="16.5" customHeight="1">
      <c r="A67" s="38"/>
      <c r="B67" s="38"/>
      <c r="C67" s="39"/>
      <c r="D67" s="38"/>
      <c r="E67" s="42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41"/>
      <c r="S67" s="38"/>
      <c r="T67" s="38"/>
      <c r="U67" s="38"/>
      <c r="V67" s="39"/>
      <c r="W67" s="38"/>
      <c r="X67" s="42"/>
      <c r="Y67" s="39"/>
      <c r="Z67" s="39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</row>
    <row r="68" ht="16.5" customHeight="1">
      <c r="A68" s="38"/>
      <c r="B68" s="38"/>
      <c r="C68" s="39"/>
      <c r="D68" s="38"/>
      <c r="E68" s="42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41"/>
      <c r="S68" s="38"/>
      <c r="T68" s="38"/>
      <c r="U68" s="38"/>
      <c r="V68" s="39"/>
      <c r="W68" s="38"/>
      <c r="X68" s="42"/>
      <c r="Y68" s="39"/>
      <c r="Z68" s="39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</row>
    <row r="69" ht="16.5" customHeight="1">
      <c r="A69" s="38"/>
      <c r="B69" s="38"/>
      <c r="C69" s="39"/>
      <c r="D69" s="38"/>
      <c r="E69" s="42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41"/>
      <c r="S69" s="38"/>
      <c r="T69" s="38"/>
      <c r="U69" s="38"/>
      <c r="V69" s="39"/>
      <c r="W69" s="38"/>
      <c r="X69" s="42"/>
      <c r="Y69" s="39"/>
      <c r="Z69" s="39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</row>
    <row r="70" ht="16.5" customHeight="1">
      <c r="A70" s="38"/>
      <c r="B70" s="38"/>
      <c r="C70" s="39"/>
      <c r="D70" s="38"/>
      <c r="E70" s="42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41"/>
      <c r="S70" s="38"/>
      <c r="T70" s="38"/>
      <c r="U70" s="38"/>
      <c r="V70" s="39"/>
      <c r="W70" s="38"/>
      <c r="X70" s="42"/>
      <c r="Y70" s="39"/>
      <c r="Z70" s="39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</row>
    <row r="71" ht="16.5" customHeight="1">
      <c r="A71" s="38"/>
      <c r="B71" s="38"/>
      <c r="C71" s="39"/>
      <c r="D71" s="38"/>
      <c r="E71" s="42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41"/>
      <c r="S71" s="38"/>
      <c r="T71" s="38"/>
      <c r="U71" s="38"/>
      <c r="V71" s="39"/>
      <c r="W71" s="38"/>
      <c r="X71" s="42"/>
      <c r="Y71" s="39"/>
      <c r="Z71" s="39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</row>
    <row r="72" ht="16.5" customHeight="1">
      <c r="A72" s="38"/>
      <c r="B72" s="38"/>
      <c r="C72" s="39"/>
      <c r="D72" s="38"/>
      <c r="E72" s="42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41"/>
      <c r="S72" s="38"/>
      <c r="T72" s="38"/>
      <c r="U72" s="38"/>
      <c r="V72" s="39"/>
      <c r="W72" s="38"/>
      <c r="X72" s="42"/>
      <c r="Y72" s="39"/>
      <c r="Z72" s="39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</row>
    <row r="73" ht="16.5" customHeight="1">
      <c r="A73" s="38"/>
      <c r="B73" s="38"/>
      <c r="C73" s="39"/>
      <c r="D73" s="38"/>
      <c r="E73" s="42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41"/>
      <c r="S73" s="38"/>
      <c r="T73" s="38"/>
      <c r="U73" s="38"/>
      <c r="V73" s="39"/>
      <c r="W73" s="38"/>
      <c r="X73" s="42"/>
      <c r="Y73" s="39"/>
      <c r="Z73" s="39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</row>
    <row r="74" ht="16.5" customHeight="1">
      <c r="A74" s="38"/>
      <c r="B74" s="38"/>
      <c r="C74" s="39"/>
      <c r="D74" s="38"/>
      <c r="E74" s="42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41"/>
      <c r="S74" s="38"/>
      <c r="T74" s="38"/>
      <c r="U74" s="38"/>
      <c r="V74" s="39"/>
      <c r="W74" s="38"/>
      <c r="X74" s="42"/>
      <c r="Y74" s="39"/>
      <c r="Z74" s="39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</row>
    <row r="75" ht="16.5" customHeight="1">
      <c r="A75" s="38"/>
      <c r="B75" s="38"/>
      <c r="C75" s="39"/>
      <c r="D75" s="38"/>
      <c r="E75" s="42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41"/>
      <c r="S75" s="38"/>
      <c r="T75" s="38"/>
      <c r="U75" s="38"/>
      <c r="V75" s="39"/>
      <c r="W75" s="38"/>
      <c r="X75" s="42"/>
      <c r="Y75" s="39"/>
      <c r="Z75" s="39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</row>
    <row r="76" ht="16.5" customHeight="1">
      <c r="A76" s="38"/>
      <c r="B76" s="38"/>
      <c r="C76" s="39"/>
      <c r="D76" s="38"/>
      <c r="E76" s="42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41"/>
      <c r="S76" s="38"/>
      <c r="T76" s="38"/>
      <c r="U76" s="38"/>
      <c r="V76" s="39"/>
      <c r="W76" s="38"/>
      <c r="X76" s="42"/>
      <c r="Y76" s="39"/>
      <c r="Z76" s="39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</row>
    <row r="77" ht="16.5" customHeight="1">
      <c r="A77" s="38"/>
      <c r="B77" s="38"/>
      <c r="C77" s="39"/>
      <c r="D77" s="38"/>
      <c r="E77" s="42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41"/>
      <c r="S77" s="38"/>
      <c r="T77" s="38"/>
      <c r="U77" s="38"/>
      <c r="V77" s="39"/>
      <c r="W77" s="38"/>
      <c r="X77" s="42"/>
      <c r="Y77" s="39"/>
      <c r="Z77" s="39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</row>
    <row r="78" ht="16.5" customHeight="1">
      <c r="A78" s="38"/>
      <c r="B78" s="38"/>
      <c r="C78" s="39"/>
      <c r="D78" s="38"/>
      <c r="E78" s="42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41"/>
      <c r="S78" s="38"/>
      <c r="T78" s="38"/>
      <c r="U78" s="38"/>
      <c r="V78" s="39"/>
      <c r="W78" s="38"/>
      <c r="X78" s="42"/>
      <c r="Y78" s="39"/>
      <c r="Z78" s="39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</row>
    <row r="79" ht="16.5" customHeight="1">
      <c r="A79" s="38"/>
      <c r="B79" s="38"/>
      <c r="C79" s="39"/>
      <c r="D79" s="38"/>
      <c r="E79" s="42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41"/>
      <c r="S79" s="38"/>
      <c r="T79" s="38"/>
      <c r="U79" s="38"/>
      <c r="V79" s="39"/>
      <c r="W79" s="38"/>
      <c r="X79" s="42"/>
      <c r="Y79" s="39"/>
      <c r="Z79" s="39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</row>
    <row r="80" ht="16.5" customHeight="1">
      <c r="A80" s="38"/>
      <c r="B80" s="38"/>
      <c r="C80" s="39"/>
      <c r="D80" s="38"/>
      <c r="E80" s="42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41"/>
      <c r="S80" s="38"/>
      <c r="T80" s="38"/>
      <c r="U80" s="38"/>
      <c r="V80" s="39"/>
      <c r="W80" s="38"/>
      <c r="X80" s="42"/>
      <c r="Y80" s="39"/>
      <c r="Z80" s="39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</row>
    <row r="81" ht="16.5" customHeight="1">
      <c r="A81" s="38"/>
      <c r="B81" s="38"/>
      <c r="C81" s="39"/>
      <c r="D81" s="38"/>
      <c r="E81" s="42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41"/>
      <c r="S81" s="38"/>
      <c r="T81" s="38"/>
      <c r="U81" s="38"/>
      <c r="V81" s="39"/>
      <c r="W81" s="38"/>
      <c r="X81" s="42"/>
      <c r="Y81" s="39"/>
      <c r="Z81" s="39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</row>
    <row r="82" ht="16.5" customHeight="1">
      <c r="A82" s="38"/>
      <c r="B82" s="38"/>
      <c r="C82" s="39"/>
      <c r="D82" s="38"/>
      <c r="E82" s="42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41"/>
      <c r="S82" s="38"/>
      <c r="T82" s="38"/>
      <c r="U82" s="38"/>
      <c r="V82" s="39"/>
      <c r="W82" s="38"/>
      <c r="X82" s="42"/>
      <c r="Y82" s="39"/>
      <c r="Z82" s="39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</row>
    <row r="83" ht="16.5" customHeight="1">
      <c r="A83" s="38"/>
      <c r="B83" s="38"/>
      <c r="C83" s="39"/>
      <c r="D83" s="38"/>
      <c r="E83" s="42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41"/>
      <c r="S83" s="38"/>
      <c r="T83" s="38"/>
      <c r="U83" s="38"/>
      <c r="V83" s="39"/>
      <c r="W83" s="38"/>
      <c r="X83" s="42"/>
      <c r="Y83" s="39"/>
      <c r="Z83" s="39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</row>
    <row r="84" ht="16.5" customHeight="1">
      <c r="A84" s="38"/>
      <c r="B84" s="38"/>
      <c r="C84" s="39"/>
      <c r="D84" s="38"/>
      <c r="E84" s="42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41"/>
      <c r="S84" s="38"/>
      <c r="T84" s="38"/>
      <c r="U84" s="38"/>
      <c r="V84" s="39"/>
      <c r="W84" s="38"/>
      <c r="X84" s="42"/>
      <c r="Y84" s="39"/>
      <c r="Z84" s="39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</row>
    <row r="85" ht="16.5" customHeight="1">
      <c r="A85" s="38"/>
      <c r="B85" s="38"/>
      <c r="C85" s="39"/>
      <c r="D85" s="38"/>
      <c r="E85" s="42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41"/>
      <c r="S85" s="38"/>
      <c r="T85" s="38"/>
      <c r="U85" s="38"/>
      <c r="V85" s="39"/>
      <c r="W85" s="38"/>
      <c r="X85" s="42"/>
      <c r="Y85" s="39"/>
      <c r="Z85" s="39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</row>
    <row r="86" ht="16.5" customHeight="1">
      <c r="A86" s="38"/>
      <c r="B86" s="38"/>
      <c r="C86" s="39"/>
      <c r="D86" s="38"/>
      <c r="E86" s="42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41"/>
      <c r="S86" s="38"/>
      <c r="T86" s="38"/>
      <c r="U86" s="38"/>
      <c r="V86" s="39"/>
      <c r="W86" s="38"/>
      <c r="X86" s="42"/>
      <c r="Y86" s="39"/>
      <c r="Z86" s="39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</row>
    <row r="87" ht="16.5" customHeight="1">
      <c r="A87" s="38"/>
      <c r="B87" s="38"/>
      <c r="C87" s="39"/>
      <c r="D87" s="38"/>
      <c r="E87" s="42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41"/>
      <c r="S87" s="38"/>
      <c r="T87" s="38"/>
      <c r="U87" s="38"/>
      <c r="V87" s="39"/>
      <c r="W87" s="38"/>
      <c r="X87" s="42"/>
      <c r="Y87" s="39"/>
      <c r="Z87" s="39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</row>
    <row r="88" ht="16.5" customHeight="1">
      <c r="A88" s="38"/>
      <c r="B88" s="38"/>
      <c r="C88" s="39"/>
      <c r="D88" s="38"/>
      <c r="E88" s="42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41"/>
      <c r="S88" s="38"/>
      <c r="T88" s="38"/>
      <c r="U88" s="38"/>
      <c r="V88" s="39"/>
      <c r="W88" s="38"/>
      <c r="X88" s="42"/>
      <c r="Y88" s="39"/>
      <c r="Z88" s="39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</row>
    <row r="89" ht="16.5" customHeight="1">
      <c r="A89" s="38"/>
      <c r="B89" s="38"/>
      <c r="C89" s="39"/>
      <c r="D89" s="38"/>
      <c r="E89" s="42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41"/>
      <c r="S89" s="38"/>
      <c r="T89" s="38"/>
      <c r="U89" s="38"/>
      <c r="V89" s="39"/>
      <c r="W89" s="38"/>
      <c r="X89" s="42"/>
      <c r="Y89" s="39"/>
      <c r="Z89" s="39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</row>
    <row r="90" ht="16.5" customHeight="1">
      <c r="A90" s="38"/>
      <c r="B90" s="38"/>
      <c r="C90" s="39"/>
      <c r="D90" s="38"/>
      <c r="E90" s="42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41"/>
      <c r="S90" s="38"/>
      <c r="T90" s="38"/>
      <c r="U90" s="38"/>
      <c r="V90" s="39"/>
      <c r="W90" s="38"/>
      <c r="X90" s="42"/>
      <c r="Y90" s="39"/>
      <c r="Z90" s="39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</row>
    <row r="91" ht="16.5" customHeight="1">
      <c r="A91" s="38"/>
      <c r="B91" s="38"/>
      <c r="C91" s="39"/>
      <c r="D91" s="38"/>
      <c r="E91" s="42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41"/>
      <c r="S91" s="38"/>
      <c r="T91" s="38"/>
      <c r="U91" s="38"/>
      <c r="V91" s="39"/>
      <c r="W91" s="38"/>
      <c r="X91" s="42"/>
      <c r="Y91" s="39"/>
      <c r="Z91" s="39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</row>
    <row r="92" ht="16.5" customHeight="1">
      <c r="A92" s="38"/>
      <c r="B92" s="38"/>
      <c r="C92" s="39"/>
      <c r="D92" s="38"/>
      <c r="E92" s="42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41"/>
      <c r="S92" s="38"/>
      <c r="T92" s="38"/>
      <c r="U92" s="38"/>
      <c r="V92" s="39"/>
      <c r="W92" s="38"/>
      <c r="X92" s="42"/>
      <c r="Y92" s="39"/>
      <c r="Z92" s="39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</row>
    <row r="93" ht="16.5" customHeight="1">
      <c r="A93" s="38"/>
      <c r="B93" s="38"/>
      <c r="C93" s="39"/>
      <c r="D93" s="38"/>
      <c r="E93" s="42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41"/>
      <c r="S93" s="38"/>
      <c r="T93" s="38"/>
      <c r="U93" s="38"/>
      <c r="V93" s="39"/>
      <c r="W93" s="38"/>
      <c r="X93" s="42"/>
      <c r="Y93" s="39"/>
      <c r="Z93" s="39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</row>
    <row r="94" ht="16.5" customHeight="1">
      <c r="A94" s="38"/>
      <c r="B94" s="38"/>
      <c r="C94" s="39"/>
      <c r="D94" s="38"/>
      <c r="E94" s="42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41"/>
      <c r="S94" s="38"/>
      <c r="T94" s="38"/>
      <c r="U94" s="38"/>
      <c r="V94" s="39"/>
      <c r="W94" s="38"/>
      <c r="X94" s="42"/>
      <c r="Y94" s="39"/>
      <c r="Z94" s="39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</row>
    <row r="95" ht="16.5" customHeight="1">
      <c r="A95" s="38"/>
      <c r="B95" s="38"/>
      <c r="C95" s="39"/>
      <c r="D95" s="38"/>
      <c r="E95" s="42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41"/>
      <c r="S95" s="38"/>
      <c r="T95" s="38"/>
      <c r="U95" s="38"/>
      <c r="V95" s="39"/>
      <c r="W95" s="38"/>
      <c r="X95" s="42"/>
      <c r="Y95" s="39"/>
      <c r="Z95" s="39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</row>
    <row r="96" ht="16.5" customHeight="1">
      <c r="A96" s="38"/>
      <c r="B96" s="38"/>
      <c r="C96" s="39"/>
      <c r="D96" s="38"/>
      <c r="E96" s="42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41"/>
      <c r="S96" s="38"/>
      <c r="T96" s="38"/>
      <c r="U96" s="38"/>
      <c r="V96" s="39"/>
      <c r="W96" s="38"/>
      <c r="X96" s="42"/>
      <c r="Y96" s="39"/>
      <c r="Z96" s="39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</row>
    <row r="97" ht="16.5" customHeight="1">
      <c r="A97" s="38"/>
      <c r="B97" s="38"/>
      <c r="C97" s="39"/>
      <c r="D97" s="38"/>
      <c r="E97" s="42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41"/>
      <c r="S97" s="38"/>
      <c r="T97" s="38"/>
      <c r="U97" s="38"/>
      <c r="V97" s="39"/>
      <c r="W97" s="38"/>
      <c r="X97" s="42"/>
      <c r="Y97" s="39"/>
      <c r="Z97" s="39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</row>
    <row r="98" ht="16.5" customHeight="1">
      <c r="A98" s="38"/>
      <c r="B98" s="38"/>
      <c r="C98" s="39"/>
      <c r="D98" s="38"/>
      <c r="E98" s="42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41"/>
      <c r="S98" s="38"/>
      <c r="T98" s="38"/>
      <c r="U98" s="38"/>
      <c r="V98" s="39"/>
      <c r="W98" s="38"/>
      <c r="X98" s="42"/>
      <c r="Y98" s="39"/>
      <c r="Z98" s="39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</row>
    <row r="99" ht="16.5" customHeight="1">
      <c r="A99" s="38"/>
      <c r="B99" s="38"/>
      <c r="C99" s="39"/>
      <c r="D99" s="38"/>
      <c r="E99" s="42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41"/>
      <c r="S99" s="38"/>
      <c r="T99" s="38"/>
      <c r="U99" s="38"/>
      <c r="V99" s="39"/>
      <c r="W99" s="38"/>
      <c r="X99" s="42"/>
      <c r="Y99" s="39"/>
      <c r="Z99" s="39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</row>
    <row r="100" ht="16.5" customHeight="1">
      <c r="A100" s="38"/>
      <c r="B100" s="38"/>
      <c r="C100" s="39"/>
      <c r="D100" s="38"/>
      <c r="E100" s="42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41"/>
      <c r="S100" s="38"/>
      <c r="T100" s="38"/>
      <c r="U100" s="38"/>
      <c r="V100" s="39"/>
      <c r="W100" s="38"/>
      <c r="X100" s="42"/>
      <c r="Y100" s="39"/>
      <c r="Z100" s="39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</row>
    <row r="101" ht="16.5" customHeight="1">
      <c r="A101" s="38"/>
      <c r="B101" s="38"/>
      <c r="C101" s="39"/>
      <c r="D101" s="38"/>
      <c r="E101" s="42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41"/>
      <c r="S101" s="38"/>
      <c r="T101" s="38"/>
      <c r="U101" s="38"/>
      <c r="V101" s="39"/>
      <c r="W101" s="38"/>
      <c r="X101" s="42"/>
      <c r="Y101" s="39"/>
      <c r="Z101" s="39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</row>
    <row r="102" ht="16.5" customHeight="1">
      <c r="A102" s="38"/>
      <c r="B102" s="38"/>
      <c r="C102" s="39"/>
      <c r="D102" s="38"/>
      <c r="E102" s="42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41"/>
      <c r="S102" s="38"/>
      <c r="T102" s="38"/>
      <c r="U102" s="38"/>
      <c r="V102" s="39"/>
      <c r="W102" s="38"/>
      <c r="X102" s="42"/>
      <c r="Y102" s="39"/>
      <c r="Z102" s="39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</row>
    <row r="103" ht="16.5" customHeight="1">
      <c r="A103" s="38"/>
      <c r="B103" s="38"/>
      <c r="C103" s="39"/>
      <c r="D103" s="38"/>
      <c r="E103" s="42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41"/>
      <c r="S103" s="38"/>
      <c r="T103" s="38"/>
      <c r="U103" s="38"/>
      <c r="V103" s="39"/>
      <c r="W103" s="38"/>
      <c r="X103" s="42"/>
      <c r="Y103" s="39"/>
      <c r="Z103" s="39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</row>
    <row r="104" ht="16.5" customHeight="1">
      <c r="A104" s="38"/>
      <c r="B104" s="38"/>
      <c r="C104" s="39"/>
      <c r="D104" s="38"/>
      <c r="E104" s="42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41"/>
      <c r="S104" s="38"/>
      <c r="T104" s="38"/>
      <c r="U104" s="38"/>
      <c r="V104" s="39"/>
      <c r="W104" s="38"/>
      <c r="X104" s="42"/>
      <c r="Y104" s="39"/>
      <c r="Z104" s="39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</row>
    <row r="105" ht="16.5" customHeight="1">
      <c r="A105" s="38"/>
      <c r="B105" s="38"/>
      <c r="C105" s="39"/>
      <c r="D105" s="38"/>
      <c r="E105" s="42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41"/>
      <c r="S105" s="38"/>
      <c r="T105" s="38"/>
      <c r="U105" s="38"/>
      <c r="V105" s="39"/>
      <c r="W105" s="38"/>
      <c r="X105" s="42"/>
      <c r="Y105" s="39"/>
      <c r="Z105" s="39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</row>
    <row r="106" ht="16.5" customHeight="1">
      <c r="A106" s="38"/>
      <c r="B106" s="38"/>
      <c r="C106" s="39"/>
      <c r="D106" s="38"/>
      <c r="E106" s="42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41"/>
      <c r="S106" s="38"/>
      <c r="T106" s="38"/>
      <c r="U106" s="38"/>
      <c r="V106" s="39"/>
      <c r="W106" s="38"/>
      <c r="X106" s="42"/>
      <c r="Y106" s="39"/>
      <c r="Z106" s="39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</row>
    <row r="107" ht="16.5" customHeight="1">
      <c r="A107" s="38"/>
      <c r="B107" s="38"/>
      <c r="C107" s="39"/>
      <c r="D107" s="38"/>
      <c r="E107" s="42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41"/>
      <c r="S107" s="38"/>
      <c r="T107" s="38"/>
      <c r="U107" s="38"/>
      <c r="V107" s="39"/>
      <c r="W107" s="38"/>
      <c r="X107" s="42"/>
      <c r="Y107" s="39"/>
      <c r="Z107" s="39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</row>
    <row r="108" ht="16.5" customHeight="1">
      <c r="A108" s="38"/>
      <c r="B108" s="38"/>
      <c r="C108" s="39"/>
      <c r="D108" s="38"/>
      <c r="E108" s="42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41"/>
      <c r="S108" s="38"/>
      <c r="T108" s="38"/>
      <c r="U108" s="38"/>
      <c r="V108" s="39"/>
      <c r="W108" s="38"/>
      <c r="X108" s="42"/>
      <c r="Y108" s="39"/>
      <c r="Z108" s="39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</row>
    <row r="109" ht="16.5" customHeight="1">
      <c r="A109" s="38"/>
      <c r="B109" s="38"/>
      <c r="C109" s="39"/>
      <c r="D109" s="38"/>
      <c r="E109" s="42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41"/>
      <c r="S109" s="38"/>
      <c r="T109" s="38"/>
      <c r="U109" s="38"/>
      <c r="V109" s="39"/>
      <c r="W109" s="38"/>
      <c r="X109" s="42"/>
      <c r="Y109" s="39"/>
      <c r="Z109" s="39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</row>
    <row r="110" ht="16.5" customHeight="1">
      <c r="A110" s="38"/>
      <c r="B110" s="38"/>
      <c r="C110" s="39"/>
      <c r="D110" s="38"/>
      <c r="E110" s="42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41"/>
      <c r="S110" s="38"/>
      <c r="T110" s="38"/>
      <c r="U110" s="38"/>
      <c r="V110" s="39"/>
      <c r="W110" s="38"/>
      <c r="X110" s="42"/>
      <c r="Y110" s="39"/>
      <c r="Z110" s="39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</row>
    <row r="111" ht="16.5" customHeight="1">
      <c r="A111" s="38"/>
      <c r="B111" s="38"/>
      <c r="C111" s="39"/>
      <c r="D111" s="38"/>
      <c r="E111" s="42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41"/>
      <c r="S111" s="38"/>
      <c r="T111" s="38"/>
      <c r="U111" s="38"/>
      <c r="V111" s="39"/>
      <c r="W111" s="38"/>
      <c r="X111" s="42"/>
      <c r="Y111" s="39"/>
      <c r="Z111" s="39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</row>
    <row r="112" ht="16.5" customHeight="1">
      <c r="A112" s="38"/>
      <c r="B112" s="38"/>
      <c r="C112" s="39"/>
      <c r="D112" s="38"/>
      <c r="E112" s="42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41"/>
      <c r="S112" s="38"/>
      <c r="T112" s="38"/>
      <c r="U112" s="38"/>
      <c r="V112" s="39"/>
      <c r="W112" s="38"/>
      <c r="X112" s="42"/>
      <c r="Y112" s="39"/>
      <c r="Z112" s="39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</row>
    <row r="113" ht="16.5" customHeight="1">
      <c r="A113" s="38"/>
      <c r="B113" s="38"/>
      <c r="C113" s="39"/>
      <c r="D113" s="38"/>
      <c r="E113" s="42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41"/>
      <c r="S113" s="38"/>
      <c r="T113" s="38"/>
      <c r="U113" s="38"/>
      <c r="V113" s="39"/>
      <c r="W113" s="38"/>
      <c r="X113" s="42"/>
      <c r="Y113" s="39"/>
      <c r="Z113" s="39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</row>
    <row r="114" ht="16.5" customHeight="1">
      <c r="A114" s="38"/>
      <c r="B114" s="38"/>
      <c r="C114" s="39"/>
      <c r="D114" s="38"/>
      <c r="E114" s="42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41"/>
      <c r="S114" s="38"/>
      <c r="T114" s="38"/>
      <c r="U114" s="38"/>
      <c r="V114" s="39"/>
      <c r="W114" s="38"/>
      <c r="X114" s="42"/>
      <c r="Y114" s="39"/>
      <c r="Z114" s="39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</row>
    <row r="115" ht="16.5" customHeight="1">
      <c r="A115" s="38"/>
      <c r="B115" s="38"/>
      <c r="C115" s="39"/>
      <c r="D115" s="38"/>
      <c r="E115" s="42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41"/>
      <c r="S115" s="38"/>
      <c r="T115" s="38"/>
      <c r="U115" s="38"/>
      <c r="V115" s="39"/>
      <c r="W115" s="38"/>
      <c r="X115" s="42"/>
      <c r="Y115" s="39"/>
      <c r="Z115" s="39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</row>
    <row r="116" ht="16.5" customHeight="1">
      <c r="A116" s="38"/>
      <c r="B116" s="38"/>
      <c r="C116" s="39"/>
      <c r="D116" s="38"/>
      <c r="E116" s="42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41"/>
      <c r="S116" s="38"/>
      <c r="T116" s="38"/>
      <c r="U116" s="38"/>
      <c r="V116" s="39"/>
      <c r="W116" s="38"/>
      <c r="X116" s="42"/>
      <c r="Y116" s="39"/>
      <c r="Z116" s="39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</row>
    <row r="117" ht="16.5" customHeight="1">
      <c r="A117" s="38"/>
      <c r="B117" s="38"/>
      <c r="C117" s="39"/>
      <c r="D117" s="38"/>
      <c r="E117" s="42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41"/>
      <c r="S117" s="38"/>
      <c r="T117" s="38"/>
      <c r="U117" s="38"/>
      <c r="V117" s="39"/>
      <c r="W117" s="38"/>
      <c r="X117" s="42"/>
      <c r="Y117" s="39"/>
      <c r="Z117" s="39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</row>
    <row r="118" ht="16.5" customHeight="1">
      <c r="A118" s="38"/>
      <c r="B118" s="38"/>
      <c r="C118" s="39"/>
      <c r="D118" s="38"/>
      <c r="E118" s="42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41"/>
      <c r="S118" s="38"/>
      <c r="T118" s="38"/>
      <c r="U118" s="38"/>
      <c r="V118" s="39"/>
      <c r="W118" s="38"/>
      <c r="X118" s="42"/>
      <c r="Y118" s="39"/>
      <c r="Z118" s="39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</row>
    <row r="119" ht="16.5" customHeight="1">
      <c r="A119" s="38"/>
      <c r="B119" s="38"/>
      <c r="C119" s="39"/>
      <c r="D119" s="38"/>
      <c r="E119" s="42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41"/>
      <c r="S119" s="38"/>
      <c r="T119" s="38"/>
      <c r="U119" s="38"/>
      <c r="V119" s="39"/>
      <c r="W119" s="38"/>
      <c r="X119" s="42"/>
      <c r="Y119" s="39"/>
      <c r="Z119" s="39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</row>
    <row r="120" ht="16.5" customHeight="1">
      <c r="A120" s="38"/>
      <c r="B120" s="38"/>
      <c r="C120" s="39"/>
      <c r="D120" s="38"/>
      <c r="E120" s="42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41"/>
      <c r="S120" s="38"/>
      <c r="T120" s="38"/>
      <c r="U120" s="38"/>
      <c r="V120" s="39"/>
      <c r="W120" s="38"/>
      <c r="X120" s="42"/>
      <c r="Y120" s="39"/>
      <c r="Z120" s="39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</row>
    <row r="121" ht="16.5" customHeight="1">
      <c r="A121" s="38"/>
      <c r="B121" s="38"/>
      <c r="C121" s="39"/>
      <c r="D121" s="38"/>
      <c r="E121" s="42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41"/>
      <c r="S121" s="38"/>
      <c r="T121" s="38"/>
      <c r="U121" s="38"/>
      <c r="V121" s="39"/>
      <c r="W121" s="38"/>
      <c r="X121" s="42"/>
      <c r="Y121" s="39"/>
      <c r="Z121" s="39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</row>
    <row r="122" ht="16.5" customHeight="1">
      <c r="A122" s="38"/>
      <c r="B122" s="38"/>
      <c r="C122" s="39"/>
      <c r="D122" s="38"/>
      <c r="E122" s="42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41"/>
      <c r="S122" s="38"/>
      <c r="T122" s="38"/>
      <c r="U122" s="38"/>
      <c r="V122" s="39"/>
      <c r="W122" s="38"/>
      <c r="X122" s="42"/>
      <c r="Y122" s="39"/>
      <c r="Z122" s="39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</row>
    <row r="123" ht="16.5" customHeight="1">
      <c r="A123" s="38"/>
      <c r="B123" s="38"/>
      <c r="C123" s="39"/>
      <c r="D123" s="38"/>
      <c r="E123" s="42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41"/>
      <c r="S123" s="38"/>
      <c r="T123" s="38"/>
      <c r="U123" s="38"/>
      <c r="V123" s="39"/>
      <c r="W123" s="38"/>
      <c r="X123" s="42"/>
      <c r="Y123" s="39"/>
      <c r="Z123" s="39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</row>
    <row r="124" ht="16.5" customHeight="1">
      <c r="A124" s="38"/>
      <c r="B124" s="38"/>
      <c r="C124" s="39"/>
      <c r="D124" s="38"/>
      <c r="E124" s="42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41"/>
      <c r="S124" s="38"/>
      <c r="T124" s="38"/>
      <c r="U124" s="38"/>
      <c r="V124" s="39"/>
      <c r="W124" s="38"/>
      <c r="X124" s="42"/>
      <c r="Y124" s="39"/>
      <c r="Z124" s="39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</row>
    <row r="125" ht="16.5" customHeight="1">
      <c r="A125" s="38"/>
      <c r="B125" s="38"/>
      <c r="C125" s="39"/>
      <c r="D125" s="38"/>
      <c r="E125" s="42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41"/>
      <c r="S125" s="38"/>
      <c r="T125" s="38"/>
      <c r="U125" s="38"/>
      <c r="V125" s="39"/>
      <c r="W125" s="38"/>
      <c r="X125" s="42"/>
      <c r="Y125" s="39"/>
      <c r="Z125" s="39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</row>
    <row r="126" ht="16.5" customHeight="1">
      <c r="A126" s="38"/>
      <c r="B126" s="38"/>
      <c r="C126" s="39"/>
      <c r="D126" s="38"/>
      <c r="E126" s="42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41"/>
      <c r="S126" s="38"/>
      <c r="T126" s="38"/>
      <c r="U126" s="38"/>
      <c r="V126" s="39"/>
      <c r="W126" s="38"/>
      <c r="X126" s="42"/>
      <c r="Y126" s="39"/>
      <c r="Z126" s="39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</row>
    <row r="127" ht="16.5" customHeight="1">
      <c r="A127" s="38"/>
      <c r="B127" s="38"/>
      <c r="C127" s="39"/>
      <c r="D127" s="38"/>
      <c r="E127" s="42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41"/>
      <c r="S127" s="38"/>
      <c r="T127" s="38"/>
      <c r="U127" s="38"/>
      <c r="V127" s="39"/>
      <c r="W127" s="38"/>
      <c r="X127" s="42"/>
      <c r="Y127" s="39"/>
      <c r="Z127" s="39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</row>
    <row r="128" ht="16.5" customHeight="1">
      <c r="A128" s="38"/>
      <c r="B128" s="38"/>
      <c r="C128" s="39"/>
      <c r="D128" s="38"/>
      <c r="E128" s="42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41"/>
      <c r="S128" s="38"/>
      <c r="T128" s="38"/>
      <c r="U128" s="38"/>
      <c r="V128" s="39"/>
      <c r="W128" s="38"/>
      <c r="X128" s="42"/>
      <c r="Y128" s="39"/>
      <c r="Z128" s="39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</row>
    <row r="129" ht="16.5" customHeight="1">
      <c r="A129" s="38"/>
      <c r="B129" s="38"/>
      <c r="C129" s="39"/>
      <c r="D129" s="38"/>
      <c r="E129" s="42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41"/>
      <c r="S129" s="38"/>
      <c r="T129" s="38"/>
      <c r="U129" s="38"/>
      <c r="V129" s="39"/>
      <c r="W129" s="38"/>
      <c r="X129" s="42"/>
      <c r="Y129" s="39"/>
      <c r="Z129" s="39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</row>
    <row r="130" ht="16.5" customHeight="1">
      <c r="A130" s="38"/>
      <c r="B130" s="38"/>
      <c r="C130" s="39"/>
      <c r="D130" s="38"/>
      <c r="E130" s="42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41"/>
      <c r="S130" s="38"/>
      <c r="T130" s="38"/>
      <c r="U130" s="38"/>
      <c r="V130" s="39"/>
      <c r="W130" s="38"/>
      <c r="X130" s="42"/>
      <c r="Y130" s="39"/>
      <c r="Z130" s="39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</row>
    <row r="131" ht="16.5" customHeight="1">
      <c r="A131" s="38"/>
      <c r="B131" s="38"/>
      <c r="C131" s="39"/>
      <c r="D131" s="38"/>
      <c r="E131" s="42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41"/>
      <c r="S131" s="38"/>
      <c r="T131" s="38"/>
      <c r="U131" s="38"/>
      <c r="V131" s="39"/>
      <c r="W131" s="38"/>
      <c r="X131" s="42"/>
      <c r="Y131" s="39"/>
      <c r="Z131" s="39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</row>
    <row r="132" ht="16.5" customHeight="1">
      <c r="A132" s="38"/>
      <c r="B132" s="38"/>
      <c r="C132" s="39"/>
      <c r="D132" s="38"/>
      <c r="E132" s="42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41"/>
      <c r="S132" s="38"/>
      <c r="T132" s="38"/>
      <c r="U132" s="38"/>
      <c r="V132" s="39"/>
      <c r="W132" s="38"/>
      <c r="X132" s="42"/>
      <c r="Y132" s="39"/>
      <c r="Z132" s="39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</row>
    <row r="133" ht="16.5" customHeight="1">
      <c r="A133" s="38"/>
      <c r="B133" s="38"/>
      <c r="C133" s="39"/>
      <c r="D133" s="38"/>
      <c r="E133" s="42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41"/>
      <c r="S133" s="38"/>
      <c r="T133" s="38"/>
      <c r="U133" s="38"/>
      <c r="V133" s="39"/>
      <c r="W133" s="38"/>
      <c r="X133" s="42"/>
      <c r="Y133" s="39"/>
      <c r="Z133" s="39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</row>
    <row r="134" ht="16.5" customHeight="1">
      <c r="A134" s="38"/>
      <c r="B134" s="38"/>
      <c r="C134" s="39"/>
      <c r="D134" s="38"/>
      <c r="E134" s="42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41"/>
      <c r="S134" s="38"/>
      <c r="T134" s="38"/>
      <c r="U134" s="38"/>
      <c r="V134" s="39"/>
      <c r="W134" s="38"/>
      <c r="X134" s="42"/>
      <c r="Y134" s="39"/>
      <c r="Z134" s="39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</row>
    <row r="135" ht="16.5" customHeight="1">
      <c r="A135" s="38"/>
      <c r="B135" s="38"/>
      <c r="C135" s="39"/>
      <c r="D135" s="38"/>
      <c r="E135" s="42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41"/>
      <c r="S135" s="38"/>
      <c r="T135" s="38"/>
      <c r="U135" s="38"/>
      <c r="V135" s="39"/>
      <c r="W135" s="38"/>
      <c r="X135" s="42"/>
      <c r="Y135" s="39"/>
      <c r="Z135" s="39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</row>
    <row r="136" ht="16.5" customHeight="1">
      <c r="A136" s="38"/>
      <c r="B136" s="38"/>
      <c r="C136" s="39"/>
      <c r="D136" s="38"/>
      <c r="E136" s="42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41"/>
      <c r="S136" s="38"/>
      <c r="T136" s="38"/>
      <c r="U136" s="38"/>
      <c r="V136" s="39"/>
      <c r="W136" s="38"/>
      <c r="X136" s="42"/>
      <c r="Y136" s="39"/>
      <c r="Z136" s="39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</row>
    <row r="137" ht="16.5" customHeight="1">
      <c r="A137" s="38"/>
      <c r="B137" s="38"/>
      <c r="C137" s="39"/>
      <c r="D137" s="38"/>
      <c r="E137" s="42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41"/>
      <c r="S137" s="38"/>
      <c r="T137" s="38"/>
      <c r="U137" s="38"/>
      <c r="V137" s="39"/>
      <c r="W137" s="38"/>
      <c r="X137" s="42"/>
      <c r="Y137" s="39"/>
      <c r="Z137" s="39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</row>
    <row r="138" ht="16.5" customHeight="1">
      <c r="A138" s="38"/>
      <c r="B138" s="38"/>
      <c r="C138" s="39"/>
      <c r="D138" s="38"/>
      <c r="E138" s="42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41"/>
      <c r="S138" s="38"/>
      <c r="T138" s="38"/>
      <c r="U138" s="38"/>
      <c r="V138" s="39"/>
      <c r="W138" s="38"/>
      <c r="X138" s="42"/>
      <c r="Y138" s="39"/>
      <c r="Z138" s="39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</row>
    <row r="139" ht="16.5" customHeight="1">
      <c r="A139" s="38"/>
      <c r="B139" s="38"/>
      <c r="C139" s="39"/>
      <c r="D139" s="38"/>
      <c r="E139" s="42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41"/>
      <c r="S139" s="38"/>
      <c r="T139" s="38"/>
      <c r="U139" s="38"/>
      <c r="V139" s="39"/>
      <c r="W139" s="38"/>
      <c r="X139" s="42"/>
      <c r="Y139" s="39"/>
      <c r="Z139" s="39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</row>
    <row r="140" ht="16.5" customHeight="1">
      <c r="A140" s="38"/>
      <c r="B140" s="38"/>
      <c r="C140" s="39"/>
      <c r="D140" s="38"/>
      <c r="E140" s="42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41"/>
      <c r="S140" s="38"/>
      <c r="T140" s="38"/>
      <c r="U140" s="38"/>
      <c r="V140" s="39"/>
      <c r="W140" s="38"/>
      <c r="X140" s="42"/>
      <c r="Y140" s="39"/>
      <c r="Z140" s="39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</row>
    <row r="141" ht="16.5" customHeight="1">
      <c r="A141" s="38"/>
      <c r="B141" s="38"/>
      <c r="C141" s="39"/>
      <c r="D141" s="38"/>
      <c r="E141" s="42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41"/>
      <c r="S141" s="38"/>
      <c r="T141" s="38"/>
      <c r="U141" s="38"/>
      <c r="V141" s="39"/>
      <c r="W141" s="38"/>
      <c r="X141" s="42"/>
      <c r="Y141" s="39"/>
      <c r="Z141" s="39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</row>
    <row r="142" ht="16.5" customHeight="1">
      <c r="A142" s="38"/>
      <c r="B142" s="38"/>
      <c r="C142" s="39"/>
      <c r="D142" s="38"/>
      <c r="E142" s="42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41"/>
      <c r="S142" s="38"/>
      <c r="T142" s="38"/>
      <c r="U142" s="38"/>
      <c r="V142" s="39"/>
      <c r="W142" s="38"/>
      <c r="X142" s="42"/>
      <c r="Y142" s="39"/>
      <c r="Z142" s="39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</row>
    <row r="143" ht="16.5" customHeight="1">
      <c r="A143" s="38"/>
      <c r="B143" s="38"/>
      <c r="C143" s="39"/>
      <c r="D143" s="38"/>
      <c r="E143" s="42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41"/>
      <c r="S143" s="38"/>
      <c r="T143" s="38"/>
      <c r="U143" s="38"/>
      <c r="V143" s="39"/>
      <c r="W143" s="38"/>
      <c r="X143" s="42"/>
      <c r="Y143" s="39"/>
      <c r="Z143" s="39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</row>
    <row r="144" ht="16.5" customHeight="1">
      <c r="A144" s="38"/>
      <c r="B144" s="38"/>
      <c r="C144" s="39"/>
      <c r="D144" s="38"/>
      <c r="E144" s="42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41"/>
      <c r="S144" s="38"/>
      <c r="T144" s="38"/>
      <c r="U144" s="38"/>
      <c r="V144" s="39"/>
      <c r="W144" s="38"/>
      <c r="X144" s="42"/>
      <c r="Y144" s="39"/>
      <c r="Z144" s="39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</row>
    <row r="145" ht="16.5" customHeight="1">
      <c r="A145" s="38"/>
      <c r="B145" s="38"/>
      <c r="C145" s="39"/>
      <c r="D145" s="38"/>
      <c r="E145" s="42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41"/>
      <c r="S145" s="38"/>
      <c r="T145" s="38"/>
      <c r="U145" s="38"/>
      <c r="V145" s="39"/>
      <c r="W145" s="38"/>
      <c r="X145" s="42"/>
      <c r="Y145" s="39"/>
      <c r="Z145" s="39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</row>
    <row r="146" ht="16.5" customHeight="1">
      <c r="A146" s="38"/>
      <c r="B146" s="38"/>
      <c r="C146" s="39"/>
      <c r="D146" s="38"/>
      <c r="E146" s="42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41"/>
      <c r="S146" s="38"/>
      <c r="T146" s="38"/>
      <c r="U146" s="38"/>
      <c r="V146" s="39"/>
      <c r="W146" s="38"/>
      <c r="X146" s="42"/>
      <c r="Y146" s="39"/>
      <c r="Z146" s="39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</row>
    <row r="147" ht="16.5" customHeight="1">
      <c r="A147" s="38"/>
      <c r="B147" s="38"/>
      <c r="C147" s="39"/>
      <c r="D147" s="38"/>
      <c r="E147" s="42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41"/>
      <c r="S147" s="38"/>
      <c r="T147" s="38"/>
      <c r="U147" s="38"/>
      <c r="V147" s="39"/>
      <c r="W147" s="38"/>
      <c r="X147" s="42"/>
      <c r="Y147" s="39"/>
      <c r="Z147" s="39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</row>
    <row r="148" ht="16.5" customHeight="1">
      <c r="A148" s="38"/>
      <c r="B148" s="38"/>
      <c r="C148" s="39"/>
      <c r="D148" s="38"/>
      <c r="E148" s="42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41"/>
      <c r="S148" s="38"/>
      <c r="T148" s="38"/>
      <c r="U148" s="38"/>
      <c r="V148" s="39"/>
      <c r="W148" s="38"/>
      <c r="X148" s="42"/>
      <c r="Y148" s="39"/>
      <c r="Z148" s="39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</row>
    <row r="149" ht="16.5" customHeight="1">
      <c r="A149" s="38"/>
      <c r="B149" s="38"/>
      <c r="C149" s="39"/>
      <c r="D149" s="38"/>
      <c r="E149" s="42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41"/>
      <c r="S149" s="38"/>
      <c r="T149" s="38"/>
      <c r="U149" s="38"/>
      <c r="V149" s="39"/>
      <c r="W149" s="38"/>
      <c r="X149" s="42"/>
      <c r="Y149" s="39"/>
      <c r="Z149" s="39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</row>
    <row r="150" ht="16.5" customHeight="1">
      <c r="A150" s="38"/>
      <c r="B150" s="38"/>
      <c r="C150" s="39"/>
      <c r="D150" s="38"/>
      <c r="E150" s="42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41"/>
      <c r="S150" s="38"/>
      <c r="T150" s="38"/>
      <c r="U150" s="38"/>
      <c r="V150" s="39"/>
      <c r="W150" s="38"/>
      <c r="X150" s="42"/>
      <c r="Y150" s="39"/>
      <c r="Z150" s="39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</row>
    <row r="151" ht="16.5" customHeight="1">
      <c r="A151" s="38"/>
      <c r="B151" s="38"/>
      <c r="C151" s="39"/>
      <c r="D151" s="38"/>
      <c r="E151" s="42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41"/>
      <c r="S151" s="38"/>
      <c r="T151" s="38"/>
      <c r="U151" s="38"/>
      <c r="V151" s="39"/>
      <c r="W151" s="38"/>
      <c r="X151" s="42"/>
      <c r="Y151" s="39"/>
      <c r="Z151" s="39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</row>
    <row r="152" ht="16.5" customHeight="1">
      <c r="A152" s="38"/>
      <c r="B152" s="38"/>
      <c r="C152" s="39"/>
      <c r="D152" s="38"/>
      <c r="E152" s="42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41"/>
      <c r="S152" s="38"/>
      <c r="T152" s="38"/>
      <c r="U152" s="38"/>
      <c r="V152" s="39"/>
      <c r="W152" s="38"/>
      <c r="X152" s="42"/>
      <c r="Y152" s="39"/>
      <c r="Z152" s="39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</row>
    <row r="153" ht="16.5" customHeight="1">
      <c r="A153" s="38"/>
      <c r="B153" s="38"/>
      <c r="C153" s="39"/>
      <c r="D153" s="38"/>
      <c r="E153" s="42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41"/>
      <c r="S153" s="38"/>
      <c r="T153" s="38"/>
      <c r="U153" s="38"/>
      <c r="V153" s="39"/>
      <c r="W153" s="38"/>
      <c r="X153" s="42"/>
      <c r="Y153" s="39"/>
      <c r="Z153" s="39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</row>
    <row r="154" ht="16.5" customHeight="1">
      <c r="A154" s="38"/>
      <c r="B154" s="38"/>
      <c r="C154" s="39"/>
      <c r="D154" s="38"/>
      <c r="E154" s="42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41"/>
      <c r="S154" s="38"/>
      <c r="T154" s="38"/>
      <c r="U154" s="38"/>
      <c r="V154" s="39"/>
      <c r="W154" s="38"/>
      <c r="X154" s="42"/>
      <c r="Y154" s="39"/>
      <c r="Z154" s="39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</row>
    <row r="155" ht="16.5" customHeight="1">
      <c r="A155" s="38"/>
      <c r="B155" s="38"/>
      <c r="C155" s="39"/>
      <c r="D155" s="38"/>
      <c r="E155" s="42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41"/>
      <c r="S155" s="38"/>
      <c r="T155" s="38"/>
      <c r="U155" s="38"/>
      <c r="V155" s="39"/>
      <c r="W155" s="38"/>
      <c r="X155" s="42"/>
      <c r="Y155" s="39"/>
      <c r="Z155" s="39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</row>
    <row r="156" ht="16.5" customHeight="1">
      <c r="A156" s="38"/>
      <c r="B156" s="38"/>
      <c r="C156" s="39"/>
      <c r="D156" s="38"/>
      <c r="E156" s="42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41"/>
      <c r="S156" s="38"/>
      <c r="T156" s="38"/>
      <c r="U156" s="38"/>
      <c r="V156" s="39"/>
      <c r="W156" s="38"/>
      <c r="X156" s="42"/>
      <c r="Y156" s="39"/>
      <c r="Z156" s="39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</row>
    <row r="157" ht="16.5" customHeight="1">
      <c r="A157" s="38"/>
      <c r="B157" s="38"/>
      <c r="C157" s="39"/>
      <c r="D157" s="38"/>
      <c r="E157" s="42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41"/>
      <c r="S157" s="38"/>
      <c r="T157" s="38"/>
      <c r="U157" s="38"/>
      <c r="V157" s="39"/>
      <c r="W157" s="38"/>
      <c r="X157" s="42"/>
      <c r="Y157" s="39"/>
      <c r="Z157" s="39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</row>
    <row r="158" ht="16.5" customHeight="1">
      <c r="A158" s="38"/>
      <c r="B158" s="38"/>
      <c r="C158" s="39"/>
      <c r="D158" s="38"/>
      <c r="E158" s="42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41"/>
      <c r="S158" s="38"/>
      <c r="T158" s="38"/>
      <c r="U158" s="38"/>
      <c r="V158" s="39"/>
      <c r="W158" s="38"/>
      <c r="X158" s="42"/>
      <c r="Y158" s="39"/>
      <c r="Z158" s="39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</row>
    <row r="159" ht="16.5" customHeight="1">
      <c r="A159" s="38"/>
      <c r="B159" s="38"/>
      <c r="C159" s="39"/>
      <c r="D159" s="38"/>
      <c r="E159" s="42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41"/>
      <c r="S159" s="38"/>
      <c r="T159" s="38"/>
      <c r="U159" s="38"/>
      <c r="V159" s="39"/>
      <c r="W159" s="38"/>
      <c r="X159" s="42"/>
      <c r="Y159" s="39"/>
      <c r="Z159" s="39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</row>
    <row r="160" ht="16.5" customHeight="1">
      <c r="A160" s="38"/>
      <c r="B160" s="38"/>
      <c r="C160" s="39"/>
      <c r="D160" s="38"/>
      <c r="E160" s="42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41"/>
      <c r="S160" s="38"/>
      <c r="T160" s="38"/>
      <c r="U160" s="38"/>
      <c r="V160" s="39"/>
      <c r="W160" s="38"/>
      <c r="X160" s="42"/>
      <c r="Y160" s="39"/>
      <c r="Z160" s="39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</row>
    <row r="161" ht="16.5" customHeight="1">
      <c r="A161" s="38"/>
      <c r="B161" s="38"/>
      <c r="C161" s="39"/>
      <c r="D161" s="38"/>
      <c r="E161" s="42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41"/>
      <c r="S161" s="38"/>
      <c r="T161" s="38"/>
      <c r="U161" s="38"/>
      <c r="V161" s="39"/>
      <c r="W161" s="38"/>
      <c r="X161" s="42"/>
      <c r="Y161" s="39"/>
      <c r="Z161" s="39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</row>
    <row r="162" ht="16.5" customHeight="1">
      <c r="A162" s="38"/>
      <c r="B162" s="38"/>
      <c r="C162" s="39"/>
      <c r="D162" s="38"/>
      <c r="E162" s="42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41"/>
      <c r="S162" s="38"/>
      <c r="T162" s="38"/>
      <c r="U162" s="38"/>
      <c r="V162" s="39"/>
      <c r="W162" s="38"/>
      <c r="X162" s="42"/>
      <c r="Y162" s="39"/>
      <c r="Z162" s="39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</row>
    <row r="163" ht="16.5" customHeight="1">
      <c r="A163" s="38"/>
      <c r="B163" s="38"/>
      <c r="C163" s="39"/>
      <c r="D163" s="38"/>
      <c r="E163" s="42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41"/>
      <c r="S163" s="38"/>
      <c r="T163" s="38"/>
      <c r="U163" s="38"/>
      <c r="V163" s="39"/>
      <c r="W163" s="38"/>
      <c r="X163" s="42"/>
      <c r="Y163" s="39"/>
      <c r="Z163" s="39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</row>
    <row r="164" ht="16.5" customHeight="1">
      <c r="A164" s="38"/>
      <c r="B164" s="38"/>
      <c r="C164" s="39"/>
      <c r="D164" s="38"/>
      <c r="E164" s="42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41"/>
      <c r="S164" s="38"/>
      <c r="T164" s="38"/>
      <c r="U164" s="38"/>
      <c r="V164" s="39"/>
      <c r="W164" s="38"/>
      <c r="X164" s="42"/>
      <c r="Y164" s="39"/>
      <c r="Z164" s="39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</row>
    <row r="165" ht="16.5" customHeight="1">
      <c r="A165" s="38"/>
      <c r="B165" s="38"/>
      <c r="C165" s="39"/>
      <c r="D165" s="38"/>
      <c r="E165" s="42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41"/>
      <c r="S165" s="38"/>
      <c r="T165" s="38"/>
      <c r="U165" s="38"/>
      <c r="V165" s="39"/>
      <c r="W165" s="38"/>
      <c r="X165" s="42"/>
      <c r="Y165" s="39"/>
      <c r="Z165" s="39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</row>
    <row r="166" ht="16.5" customHeight="1">
      <c r="A166" s="38"/>
      <c r="B166" s="38"/>
      <c r="C166" s="39"/>
      <c r="D166" s="38"/>
      <c r="E166" s="42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41"/>
      <c r="S166" s="38"/>
      <c r="T166" s="38"/>
      <c r="U166" s="38"/>
      <c r="V166" s="39"/>
      <c r="W166" s="38"/>
      <c r="X166" s="42"/>
      <c r="Y166" s="39"/>
      <c r="Z166" s="39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</row>
    <row r="167" ht="16.5" customHeight="1">
      <c r="A167" s="38"/>
      <c r="B167" s="38"/>
      <c r="C167" s="39"/>
      <c r="D167" s="38"/>
      <c r="E167" s="42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41"/>
      <c r="S167" s="38"/>
      <c r="T167" s="38"/>
      <c r="U167" s="38"/>
      <c r="V167" s="39"/>
      <c r="W167" s="38"/>
      <c r="X167" s="42"/>
      <c r="Y167" s="39"/>
      <c r="Z167" s="39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</row>
    <row r="168" ht="16.5" customHeight="1">
      <c r="A168" s="38"/>
      <c r="B168" s="38"/>
      <c r="C168" s="39"/>
      <c r="D168" s="38"/>
      <c r="E168" s="42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41"/>
      <c r="S168" s="38"/>
      <c r="T168" s="38"/>
      <c r="U168" s="38"/>
      <c r="V168" s="39"/>
      <c r="W168" s="38"/>
      <c r="X168" s="42"/>
      <c r="Y168" s="39"/>
      <c r="Z168" s="39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</row>
    <row r="169" ht="16.5" customHeight="1">
      <c r="A169" s="38"/>
      <c r="B169" s="38"/>
      <c r="C169" s="39"/>
      <c r="D169" s="38"/>
      <c r="E169" s="42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41"/>
      <c r="S169" s="38"/>
      <c r="T169" s="38"/>
      <c r="U169" s="38"/>
      <c r="V169" s="39"/>
      <c r="W169" s="38"/>
      <c r="X169" s="42"/>
      <c r="Y169" s="39"/>
      <c r="Z169" s="39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</row>
    <row r="170" ht="16.5" customHeight="1">
      <c r="A170" s="38"/>
      <c r="B170" s="38"/>
      <c r="C170" s="39"/>
      <c r="D170" s="38"/>
      <c r="E170" s="42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41"/>
      <c r="S170" s="38"/>
      <c r="T170" s="38"/>
      <c r="U170" s="38"/>
      <c r="V170" s="39"/>
      <c r="W170" s="38"/>
      <c r="X170" s="42"/>
      <c r="Y170" s="39"/>
      <c r="Z170" s="39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</row>
    <row r="171" ht="16.5" customHeight="1">
      <c r="A171" s="38"/>
      <c r="B171" s="38"/>
      <c r="C171" s="39"/>
      <c r="D171" s="38"/>
      <c r="E171" s="42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41"/>
      <c r="S171" s="38"/>
      <c r="T171" s="38"/>
      <c r="U171" s="38"/>
      <c r="V171" s="39"/>
      <c r="W171" s="38"/>
      <c r="X171" s="42"/>
      <c r="Y171" s="39"/>
      <c r="Z171" s="39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</row>
    <row r="172" ht="16.5" customHeight="1">
      <c r="A172" s="38"/>
      <c r="B172" s="38"/>
      <c r="C172" s="39"/>
      <c r="D172" s="38"/>
      <c r="E172" s="42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41"/>
      <c r="S172" s="38"/>
      <c r="T172" s="38"/>
      <c r="U172" s="38"/>
      <c r="V172" s="39"/>
      <c r="W172" s="38"/>
      <c r="X172" s="42"/>
      <c r="Y172" s="39"/>
      <c r="Z172" s="39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</row>
    <row r="173" ht="16.5" customHeight="1">
      <c r="A173" s="38"/>
      <c r="B173" s="38"/>
      <c r="C173" s="39"/>
      <c r="D173" s="38"/>
      <c r="E173" s="42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41"/>
      <c r="S173" s="38"/>
      <c r="T173" s="38"/>
      <c r="U173" s="38"/>
      <c r="V173" s="39"/>
      <c r="W173" s="38"/>
      <c r="X173" s="42"/>
      <c r="Y173" s="39"/>
      <c r="Z173" s="39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</row>
    <row r="174" ht="16.5" customHeight="1">
      <c r="A174" s="38"/>
      <c r="B174" s="38"/>
      <c r="C174" s="39"/>
      <c r="D174" s="38"/>
      <c r="E174" s="42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41"/>
      <c r="S174" s="38"/>
      <c r="T174" s="38"/>
      <c r="U174" s="38"/>
      <c r="V174" s="39"/>
      <c r="W174" s="38"/>
      <c r="X174" s="42"/>
      <c r="Y174" s="39"/>
      <c r="Z174" s="39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</row>
    <row r="175" ht="16.5" customHeight="1">
      <c r="A175" s="38"/>
      <c r="B175" s="38"/>
      <c r="C175" s="39"/>
      <c r="D175" s="38"/>
      <c r="E175" s="42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41"/>
      <c r="S175" s="38"/>
      <c r="T175" s="38"/>
      <c r="U175" s="38"/>
      <c r="V175" s="39"/>
      <c r="W175" s="38"/>
      <c r="X175" s="42"/>
      <c r="Y175" s="39"/>
      <c r="Z175" s="39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</row>
    <row r="176" ht="16.5" customHeight="1">
      <c r="A176" s="38"/>
      <c r="B176" s="38"/>
      <c r="C176" s="39"/>
      <c r="D176" s="38"/>
      <c r="E176" s="42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41"/>
      <c r="S176" s="38"/>
      <c r="T176" s="38"/>
      <c r="U176" s="38"/>
      <c r="V176" s="39"/>
      <c r="W176" s="38"/>
      <c r="X176" s="42"/>
      <c r="Y176" s="39"/>
      <c r="Z176" s="39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</row>
    <row r="177" ht="16.5" customHeight="1">
      <c r="A177" s="38"/>
      <c r="B177" s="38"/>
      <c r="C177" s="39"/>
      <c r="D177" s="38"/>
      <c r="E177" s="42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41"/>
      <c r="S177" s="38"/>
      <c r="T177" s="38"/>
      <c r="U177" s="38"/>
      <c r="V177" s="39"/>
      <c r="W177" s="38"/>
      <c r="X177" s="42"/>
      <c r="Y177" s="39"/>
      <c r="Z177" s="39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</row>
    <row r="178" ht="16.5" customHeight="1">
      <c r="A178" s="38"/>
      <c r="B178" s="38"/>
      <c r="C178" s="39"/>
      <c r="D178" s="38"/>
      <c r="E178" s="42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41"/>
      <c r="S178" s="38"/>
      <c r="T178" s="38"/>
      <c r="U178" s="38"/>
      <c r="V178" s="39"/>
      <c r="W178" s="38"/>
      <c r="X178" s="42"/>
      <c r="Y178" s="39"/>
      <c r="Z178" s="39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</row>
    <row r="179" ht="16.5" customHeight="1">
      <c r="A179" s="38"/>
      <c r="B179" s="38"/>
      <c r="C179" s="39"/>
      <c r="D179" s="38"/>
      <c r="E179" s="42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41"/>
      <c r="S179" s="38"/>
      <c r="T179" s="38"/>
      <c r="U179" s="38"/>
      <c r="V179" s="39"/>
      <c r="W179" s="38"/>
      <c r="X179" s="42"/>
      <c r="Y179" s="39"/>
      <c r="Z179" s="39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</row>
    <row r="180" ht="16.5" customHeight="1">
      <c r="A180" s="38"/>
      <c r="B180" s="38"/>
      <c r="C180" s="39"/>
      <c r="D180" s="38"/>
      <c r="E180" s="42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41"/>
      <c r="S180" s="38"/>
      <c r="T180" s="38"/>
      <c r="U180" s="38"/>
      <c r="V180" s="39"/>
      <c r="W180" s="38"/>
      <c r="X180" s="42"/>
      <c r="Y180" s="39"/>
      <c r="Z180" s="39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</row>
    <row r="181" ht="16.5" customHeight="1">
      <c r="A181" s="38"/>
      <c r="B181" s="38"/>
      <c r="C181" s="39"/>
      <c r="D181" s="38"/>
      <c r="E181" s="42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41"/>
      <c r="S181" s="38"/>
      <c r="T181" s="38"/>
      <c r="U181" s="38"/>
      <c r="V181" s="39"/>
      <c r="W181" s="38"/>
      <c r="X181" s="42"/>
      <c r="Y181" s="39"/>
      <c r="Z181" s="39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</row>
    <row r="182" ht="16.5" customHeight="1">
      <c r="A182" s="38"/>
      <c r="B182" s="38"/>
      <c r="C182" s="39"/>
      <c r="D182" s="38"/>
      <c r="E182" s="42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41"/>
      <c r="S182" s="38"/>
      <c r="T182" s="38"/>
      <c r="U182" s="38"/>
      <c r="V182" s="39"/>
      <c r="W182" s="38"/>
      <c r="X182" s="42"/>
      <c r="Y182" s="39"/>
      <c r="Z182" s="39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</row>
    <row r="183" ht="16.5" customHeight="1">
      <c r="A183" s="38"/>
      <c r="B183" s="38"/>
      <c r="C183" s="39"/>
      <c r="D183" s="38"/>
      <c r="E183" s="42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41"/>
      <c r="S183" s="38"/>
      <c r="T183" s="38"/>
      <c r="U183" s="38"/>
      <c r="V183" s="39"/>
      <c r="W183" s="38"/>
      <c r="X183" s="42"/>
      <c r="Y183" s="39"/>
      <c r="Z183" s="39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</row>
    <row r="184" ht="16.5" customHeight="1">
      <c r="A184" s="38"/>
      <c r="B184" s="38"/>
      <c r="C184" s="39"/>
      <c r="D184" s="38"/>
      <c r="E184" s="42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41"/>
      <c r="S184" s="38"/>
      <c r="T184" s="38"/>
      <c r="U184" s="38"/>
      <c r="V184" s="39"/>
      <c r="W184" s="38"/>
      <c r="X184" s="42"/>
      <c r="Y184" s="39"/>
      <c r="Z184" s="39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</row>
    <row r="185" ht="16.5" customHeight="1">
      <c r="A185" s="38"/>
      <c r="B185" s="38"/>
      <c r="C185" s="39"/>
      <c r="D185" s="38"/>
      <c r="E185" s="42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41"/>
      <c r="S185" s="38"/>
      <c r="T185" s="38"/>
      <c r="U185" s="38"/>
      <c r="V185" s="39"/>
      <c r="W185" s="38"/>
      <c r="X185" s="42"/>
      <c r="Y185" s="39"/>
      <c r="Z185" s="39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</row>
    <row r="186" ht="16.5" customHeight="1">
      <c r="A186" s="38"/>
      <c r="B186" s="38"/>
      <c r="C186" s="39"/>
      <c r="D186" s="38"/>
      <c r="E186" s="42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41"/>
      <c r="S186" s="38"/>
      <c r="T186" s="38"/>
      <c r="U186" s="38"/>
      <c r="V186" s="39"/>
      <c r="W186" s="38"/>
      <c r="X186" s="42"/>
      <c r="Y186" s="39"/>
      <c r="Z186" s="39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</row>
    <row r="187" ht="16.5" customHeight="1">
      <c r="A187" s="38"/>
      <c r="B187" s="38"/>
      <c r="C187" s="39"/>
      <c r="D187" s="38"/>
      <c r="E187" s="42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41"/>
      <c r="S187" s="38"/>
      <c r="T187" s="38"/>
      <c r="U187" s="38"/>
      <c r="V187" s="39"/>
      <c r="W187" s="38"/>
      <c r="X187" s="42"/>
      <c r="Y187" s="39"/>
      <c r="Z187" s="39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</row>
    <row r="188" ht="16.5" customHeight="1">
      <c r="A188" s="38"/>
      <c r="B188" s="38"/>
      <c r="C188" s="39"/>
      <c r="D188" s="38"/>
      <c r="E188" s="42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41"/>
      <c r="S188" s="38"/>
      <c r="T188" s="38"/>
      <c r="U188" s="38"/>
      <c r="V188" s="39"/>
      <c r="W188" s="38"/>
      <c r="X188" s="42"/>
      <c r="Y188" s="39"/>
      <c r="Z188" s="39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</row>
    <row r="189" ht="16.5" customHeight="1">
      <c r="A189" s="38"/>
      <c r="B189" s="38"/>
      <c r="C189" s="39"/>
      <c r="D189" s="38"/>
      <c r="E189" s="42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41"/>
      <c r="S189" s="38"/>
      <c r="T189" s="38"/>
      <c r="U189" s="38"/>
      <c r="V189" s="39"/>
      <c r="W189" s="38"/>
      <c r="X189" s="42"/>
      <c r="Y189" s="39"/>
      <c r="Z189" s="39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</row>
    <row r="190" ht="16.5" customHeight="1">
      <c r="A190" s="38"/>
      <c r="B190" s="38"/>
      <c r="C190" s="39"/>
      <c r="D190" s="38"/>
      <c r="E190" s="42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41"/>
      <c r="S190" s="38"/>
      <c r="T190" s="38"/>
      <c r="U190" s="38"/>
      <c r="V190" s="39"/>
      <c r="W190" s="38"/>
      <c r="X190" s="42"/>
      <c r="Y190" s="39"/>
      <c r="Z190" s="39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</row>
    <row r="191" ht="16.5" customHeight="1">
      <c r="A191" s="38"/>
      <c r="B191" s="38"/>
      <c r="C191" s="39"/>
      <c r="D191" s="38"/>
      <c r="E191" s="42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41"/>
      <c r="S191" s="38"/>
      <c r="T191" s="38"/>
      <c r="U191" s="38"/>
      <c r="V191" s="39"/>
      <c r="W191" s="38"/>
      <c r="X191" s="42"/>
      <c r="Y191" s="39"/>
      <c r="Z191" s="39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</row>
    <row r="192" ht="16.5" customHeight="1">
      <c r="A192" s="38"/>
      <c r="B192" s="38"/>
      <c r="C192" s="39"/>
      <c r="D192" s="38"/>
      <c r="E192" s="42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41"/>
      <c r="S192" s="38"/>
      <c r="T192" s="38"/>
      <c r="U192" s="38"/>
      <c r="V192" s="39"/>
      <c r="W192" s="38"/>
      <c r="X192" s="42"/>
      <c r="Y192" s="39"/>
      <c r="Z192" s="39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</row>
    <row r="193" ht="16.5" customHeight="1">
      <c r="A193" s="38"/>
      <c r="B193" s="38"/>
      <c r="C193" s="39"/>
      <c r="D193" s="38"/>
      <c r="E193" s="42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41"/>
      <c r="S193" s="38"/>
      <c r="T193" s="38"/>
      <c r="U193" s="38"/>
      <c r="V193" s="39"/>
      <c r="W193" s="38"/>
      <c r="X193" s="42"/>
      <c r="Y193" s="39"/>
      <c r="Z193" s="39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</row>
    <row r="194" ht="16.5" customHeight="1">
      <c r="A194" s="38"/>
      <c r="B194" s="38"/>
      <c r="C194" s="39"/>
      <c r="D194" s="38"/>
      <c r="E194" s="42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41"/>
      <c r="S194" s="38"/>
      <c r="T194" s="38"/>
      <c r="U194" s="38"/>
      <c r="V194" s="39"/>
      <c r="W194" s="38"/>
      <c r="X194" s="42"/>
      <c r="Y194" s="39"/>
      <c r="Z194" s="39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</row>
    <row r="195" ht="16.5" customHeight="1">
      <c r="A195" s="38"/>
      <c r="B195" s="38"/>
      <c r="C195" s="39"/>
      <c r="D195" s="38"/>
      <c r="E195" s="42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41"/>
      <c r="S195" s="38"/>
      <c r="T195" s="38"/>
      <c r="U195" s="38"/>
      <c r="V195" s="39"/>
      <c r="W195" s="38"/>
      <c r="X195" s="42"/>
      <c r="Y195" s="39"/>
      <c r="Z195" s="39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</row>
    <row r="196" ht="16.5" customHeight="1">
      <c r="A196" s="38"/>
      <c r="B196" s="38"/>
      <c r="C196" s="39"/>
      <c r="D196" s="38"/>
      <c r="E196" s="42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41"/>
      <c r="S196" s="38"/>
      <c r="T196" s="38"/>
      <c r="U196" s="38"/>
      <c r="V196" s="39"/>
      <c r="W196" s="38"/>
      <c r="X196" s="42"/>
      <c r="Y196" s="39"/>
      <c r="Z196" s="39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</row>
    <row r="197" ht="16.5" customHeight="1">
      <c r="A197" s="38"/>
      <c r="B197" s="38"/>
      <c r="C197" s="39"/>
      <c r="D197" s="38"/>
      <c r="E197" s="42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41"/>
      <c r="S197" s="38"/>
      <c r="T197" s="38"/>
      <c r="U197" s="38"/>
      <c r="V197" s="39"/>
      <c r="W197" s="38"/>
      <c r="X197" s="42"/>
      <c r="Y197" s="39"/>
      <c r="Z197" s="39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</row>
    <row r="198" ht="16.5" customHeight="1">
      <c r="A198" s="38"/>
      <c r="B198" s="38"/>
      <c r="C198" s="39"/>
      <c r="D198" s="38"/>
      <c r="E198" s="42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41"/>
      <c r="S198" s="38"/>
      <c r="T198" s="38"/>
      <c r="U198" s="38"/>
      <c r="V198" s="39"/>
      <c r="W198" s="38"/>
      <c r="X198" s="42"/>
      <c r="Y198" s="39"/>
      <c r="Z198" s="39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</row>
    <row r="199" ht="16.5" customHeight="1">
      <c r="A199" s="38"/>
      <c r="B199" s="38"/>
      <c r="C199" s="39"/>
      <c r="D199" s="38"/>
      <c r="E199" s="42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41"/>
      <c r="S199" s="38"/>
      <c r="T199" s="38"/>
      <c r="U199" s="38"/>
      <c r="V199" s="39"/>
      <c r="W199" s="38"/>
      <c r="X199" s="42"/>
      <c r="Y199" s="39"/>
      <c r="Z199" s="39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</row>
    <row r="200" ht="16.5" customHeight="1">
      <c r="A200" s="38"/>
      <c r="B200" s="38"/>
      <c r="C200" s="39"/>
      <c r="D200" s="38"/>
      <c r="E200" s="42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41"/>
      <c r="S200" s="38"/>
      <c r="T200" s="38"/>
      <c r="U200" s="38"/>
      <c r="V200" s="39"/>
      <c r="W200" s="38"/>
      <c r="X200" s="42"/>
      <c r="Y200" s="39"/>
      <c r="Z200" s="39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</row>
    <row r="201" ht="16.5" customHeight="1">
      <c r="A201" s="38"/>
      <c r="B201" s="38"/>
      <c r="C201" s="39"/>
      <c r="D201" s="38"/>
      <c r="E201" s="42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41"/>
      <c r="S201" s="38"/>
      <c r="T201" s="38"/>
      <c r="U201" s="38"/>
      <c r="V201" s="39"/>
      <c r="W201" s="38"/>
      <c r="X201" s="42"/>
      <c r="Y201" s="39"/>
      <c r="Z201" s="39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</row>
    <row r="202" ht="16.5" customHeight="1">
      <c r="A202" s="38"/>
      <c r="B202" s="38"/>
      <c r="C202" s="39"/>
      <c r="D202" s="38"/>
      <c r="E202" s="42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41"/>
      <c r="S202" s="38"/>
      <c r="T202" s="38"/>
      <c r="U202" s="38"/>
      <c r="V202" s="39"/>
      <c r="W202" s="38"/>
      <c r="X202" s="42"/>
      <c r="Y202" s="39"/>
      <c r="Z202" s="39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</row>
    <row r="203" ht="16.5" customHeight="1">
      <c r="A203" s="38"/>
      <c r="B203" s="38"/>
      <c r="C203" s="39"/>
      <c r="D203" s="38"/>
      <c r="E203" s="42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41"/>
      <c r="S203" s="38"/>
      <c r="T203" s="38"/>
      <c r="U203" s="38"/>
      <c r="V203" s="39"/>
      <c r="W203" s="38"/>
      <c r="X203" s="42"/>
      <c r="Y203" s="39"/>
      <c r="Z203" s="39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</row>
    <row r="204" ht="16.5" customHeight="1">
      <c r="A204" s="38"/>
      <c r="B204" s="38"/>
      <c r="C204" s="39"/>
      <c r="D204" s="38"/>
      <c r="E204" s="42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41"/>
      <c r="S204" s="38"/>
      <c r="T204" s="38"/>
      <c r="U204" s="38"/>
      <c r="V204" s="39"/>
      <c r="W204" s="38"/>
      <c r="X204" s="42"/>
      <c r="Y204" s="39"/>
      <c r="Z204" s="39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</row>
    <row r="205" ht="16.5" customHeight="1">
      <c r="A205" s="38"/>
      <c r="B205" s="38"/>
      <c r="C205" s="39"/>
      <c r="D205" s="38"/>
      <c r="E205" s="42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41"/>
      <c r="S205" s="38"/>
      <c r="T205" s="38"/>
      <c r="U205" s="38"/>
      <c r="V205" s="39"/>
      <c r="W205" s="38"/>
      <c r="X205" s="42"/>
      <c r="Y205" s="39"/>
      <c r="Z205" s="39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</row>
    <row r="206" ht="16.5" customHeight="1">
      <c r="A206" s="38"/>
      <c r="B206" s="38"/>
      <c r="C206" s="39"/>
      <c r="D206" s="38"/>
      <c r="E206" s="42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41"/>
      <c r="S206" s="38"/>
      <c r="T206" s="38"/>
      <c r="U206" s="38"/>
      <c r="V206" s="39"/>
      <c r="W206" s="38"/>
      <c r="X206" s="42"/>
      <c r="Y206" s="39"/>
      <c r="Z206" s="39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</row>
    <row r="207" ht="16.5" customHeight="1">
      <c r="A207" s="38"/>
      <c r="B207" s="38"/>
      <c r="C207" s="39"/>
      <c r="D207" s="38"/>
      <c r="E207" s="42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41"/>
      <c r="S207" s="38"/>
      <c r="T207" s="38"/>
      <c r="U207" s="38"/>
      <c r="V207" s="39"/>
      <c r="W207" s="38"/>
      <c r="X207" s="42"/>
      <c r="Y207" s="39"/>
      <c r="Z207" s="39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</row>
    <row r="208" ht="16.5" customHeight="1">
      <c r="A208" s="38"/>
      <c r="B208" s="38"/>
      <c r="C208" s="39"/>
      <c r="D208" s="38"/>
      <c r="E208" s="42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41"/>
      <c r="S208" s="38"/>
      <c r="T208" s="38"/>
      <c r="U208" s="38"/>
      <c r="V208" s="39"/>
      <c r="W208" s="38"/>
      <c r="X208" s="42"/>
      <c r="Y208" s="39"/>
      <c r="Z208" s="39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</row>
    <row r="209" ht="16.5" customHeight="1">
      <c r="A209" s="38"/>
      <c r="B209" s="38"/>
      <c r="C209" s="39"/>
      <c r="D209" s="38"/>
      <c r="E209" s="42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41"/>
      <c r="S209" s="38"/>
      <c r="T209" s="38"/>
      <c r="U209" s="38"/>
      <c r="V209" s="39"/>
      <c r="W209" s="38"/>
      <c r="X209" s="42"/>
      <c r="Y209" s="39"/>
      <c r="Z209" s="39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</row>
    <row r="210" ht="16.5" customHeight="1">
      <c r="A210" s="38"/>
      <c r="B210" s="38"/>
      <c r="C210" s="39"/>
      <c r="D210" s="38"/>
      <c r="E210" s="42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41"/>
      <c r="S210" s="38"/>
      <c r="T210" s="38"/>
      <c r="U210" s="38"/>
      <c r="V210" s="39"/>
      <c r="W210" s="38"/>
      <c r="X210" s="42"/>
      <c r="Y210" s="39"/>
      <c r="Z210" s="39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</row>
    <row r="211" ht="16.5" customHeight="1">
      <c r="A211" s="38"/>
      <c r="B211" s="38"/>
      <c r="C211" s="39"/>
      <c r="D211" s="38"/>
      <c r="E211" s="42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41"/>
      <c r="S211" s="38"/>
      <c r="T211" s="38"/>
      <c r="U211" s="38"/>
      <c r="V211" s="39"/>
      <c r="W211" s="38"/>
      <c r="X211" s="42"/>
      <c r="Y211" s="39"/>
      <c r="Z211" s="39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</row>
    <row r="212" ht="16.5" customHeight="1">
      <c r="A212" s="38"/>
      <c r="B212" s="38"/>
      <c r="C212" s="39"/>
      <c r="D212" s="38"/>
      <c r="E212" s="42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41"/>
      <c r="S212" s="38"/>
      <c r="T212" s="38"/>
      <c r="U212" s="38"/>
      <c r="V212" s="39"/>
      <c r="W212" s="38"/>
      <c r="X212" s="42"/>
      <c r="Y212" s="39"/>
      <c r="Z212" s="39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</row>
    <row r="213" ht="16.5" customHeight="1">
      <c r="A213" s="38"/>
      <c r="B213" s="38"/>
      <c r="C213" s="39"/>
      <c r="D213" s="38"/>
      <c r="E213" s="42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41"/>
      <c r="S213" s="38"/>
      <c r="T213" s="38"/>
      <c r="U213" s="38"/>
      <c r="V213" s="39"/>
      <c r="W213" s="38"/>
      <c r="X213" s="42"/>
      <c r="Y213" s="39"/>
      <c r="Z213" s="39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</row>
    <row r="214" ht="16.5" customHeight="1">
      <c r="A214" s="38"/>
      <c r="B214" s="38"/>
      <c r="C214" s="39"/>
      <c r="D214" s="38"/>
      <c r="E214" s="42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41"/>
      <c r="S214" s="38"/>
      <c r="T214" s="38"/>
      <c r="U214" s="38"/>
      <c r="V214" s="39"/>
      <c r="W214" s="38"/>
      <c r="X214" s="42"/>
      <c r="Y214" s="39"/>
      <c r="Z214" s="39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</row>
    <row r="215" ht="16.5" customHeight="1">
      <c r="A215" s="38"/>
      <c r="B215" s="38"/>
      <c r="C215" s="39"/>
      <c r="D215" s="38"/>
      <c r="E215" s="42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41"/>
      <c r="S215" s="38"/>
      <c r="T215" s="38"/>
      <c r="U215" s="38"/>
      <c r="V215" s="39"/>
      <c r="W215" s="38"/>
      <c r="X215" s="42"/>
      <c r="Y215" s="39"/>
      <c r="Z215" s="39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</row>
    <row r="216" ht="16.5" customHeight="1">
      <c r="A216" s="38"/>
      <c r="B216" s="38"/>
      <c r="C216" s="39"/>
      <c r="D216" s="38"/>
      <c r="E216" s="42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41"/>
      <c r="S216" s="38"/>
      <c r="T216" s="38"/>
      <c r="U216" s="38"/>
      <c r="V216" s="39"/>
      <c r="W216" s="38"/>
      <c r="X216" s="42"/>
      <c r="Y216" s="39"/>
      <c r="Z216" s="39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</row>
    <row r="217" ht="16.5" customHeight="1">
      <c r="A217" s="38"/>
      <c r="B217" s="38"/>
      <c r="C217" s="39"/>
      <c r="D217" s="38"/>
      <c r="E217" s="42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41"/>
      <c r="S217" s="38"/>
      <c r="T217" s="38"/>
      <c r="U217" s="38"/>
      <c r="V217" s="39"/>
      <c r="W217" s="38"/>
      <c r="X217" s="42"/>
      <c r="Y217" s="39"/>
      <c r="Z217" s="39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</row>
    <row r="218" ht="16.5" customHeight="1">
      <c r="A218" s="38"/>
      <c r="B218" s="38"/>
      <c r="C218" s="39"/>
      <c r="D218" s="38"/>
      <c r="E218" s="42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41"/>
      <c r="S218" s="38"/>
      <c r="T218" s="38"/>
      <c r="U218" s="38"/>
      <c r="V218" s="39"/>
      <c r="W218" s="38"/>
      <c r="X218" s="42"/>
      <c r="Y218" s="39"/>
      <c r="Z218" s="39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</row>
    <row r="219" ht="16.5" customHeight="1">
      <c r="A219" s="38"/>
      <c r="B219" s="38"/>
      <c r="C219" s="39"/>
      <c r="D219" s="38"/>
      <c r="E219" s="42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41"/>
      <c r="S219" s="38"/>
      <c r="T219" s="38"/>
      <c r="U219" s="38"/>
      <c r="V219" s="39"/>
      <c r="W219" s="38"/>
      <c r="X219" s="42"/>
      <c r="Y219" s="39"/>
      <c r="Z219" s="39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</row>
    <row r="220" ht="16.5" customHeight="1">
      <c r="A220" s="38"/>
      <c r="B220" s="38"/>
      <c r="C220" s="39"/>
      <c r="D220" s="38"/>
      <c r="E220" s="42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41"/>
      <c r="S220" s="38"/>
      <c r="T220" s="38"/>
      <c r="U220" s="38"/>
      <c r="V220" s="39"/>
      <c r="W220" s="38"/>
      <c r="X220" s="42"/>
      <c r="Y220" s="39"/>
      <c r="Z220" s="39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</row>
    <row r="221" ht="16.5" customHeight="1">
      <c r="A221" s="38"/>
      <c r="B221" s="38"/>
      <c r="C221" s="39"/>
      <c r="D221" s="38"/>
      <c r="E221" s="42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41"/>
      <c r="S221" s="38"/>
      <c r="T221" s="38"/>
      <c r="U221" s="38"/>
      <c r="V221" s="39"/>
      <c r="W221" s="38"/>
      <c r="X221" s="42"/>
      <c r="Y221" s="39"/>
      <c r="Z221" s="39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</row>
    <row r="222" ht="16.5" customHeight="1">
      <c r="A222" s="38"/>
      <c r="B222" s="38"/>
      <c r="C222" s="39"/>
      <c r="D222" s="38"/>
      <c r="E222" s="42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41"/>
      <c r="S222" s="38"/>
      <c r="T222" s="38"/>
      <c r="U222" s="38"/>
      <c r="V222" s="39"/>
      <c r="W222" s="38"/>
      <c r="X222" s="42"/>
      <c r="Y222" s="39"/>
      <c r="Z222" s="39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</row>
    <row r="223" ht="16.5" customHeight="1">
      <c r="A223" s="38"/>
      <c r="B223" s="38"/>
      <c r="C223" s="39"/>
      <c r="D223" s="38"/>
      <c r="E223" s="42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41"/>
      <c r="S223" s="38"/>
      <c r="T223" s="38"/>
      <c r="U223" s="38"/>
      <c r="V223" s="39"/>
      <c r="W223" s="38"/>
      <c r="X223" s="42"/>
      <c r="Y223" s="39"/>
      <c r="Z223" s="39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</row>
    <row r="224" ht="16.5" customHeight="1">
      <c r="A224" s="38"/>
      <c r="B224" s="38"/>
      <c r="C224" s="39"/>
      <c r="D224" s="38"/>
      <c r="E224" s="42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41"/>
      <c r="S224" s="38"/>
      <c r="T224" s="38"/>
      <c r="U224" s="38"/>
      <c r="V224" s="39"/>
      <c r="W224" s="38"/>
      <c r="X224" s="42"/>
      <c r="Y224" s="39"/>
      <c r="Z224" s="39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</row>
    <row r="225" ht="16.5" customHeight="1">
      <c r="A225" s="38"/>
      <c r="B225" s="38"/>
      <c r="C225" s="39"/>
      <c r="D225" s="38"/>
      <c r="E225" s="42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41"/>
      <c r="S225" s="38"/>
      <c r="T225" s="38"/>
      <c r="U225" s="38"/>
      <c r="V225" s="39"/>
      <c r="W225" s="38"/>
      <c r="X225" s="42"/>
      <c r="Y225" s="39"/>
      <c r="Z225" s="39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</row>
    <row r="226" ht="16.5" customHeight="1">
      <c r="A226" s="38"/>
      <c r="B226" s="38"/>
      <c r="C226" s="39"/>
      <c r="D226" s="38"/>
      <c r="E226" s="42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41"/>
      <c r="S226" s="38"/>
      <c r="T226" s="38"/>
      <c r="U226" s="38"/>
      <c r="V226" s="39"/>
      <c r="W226" s="38"/>
      <c r="X226" s="42"/>
      <c r="Y226" s="39"/>
      <c r="Z226" s="39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</row>
    <row r="227" ht="16.5" customHeight="1">
      <c r="A227" s="38"/>
      <c r="B227" s="38"/>
      <c r="C227" s="39"/>
      <c r="D227" s="38"/>
      <c r="E227" s="42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41"/>
      <c r="S227" s="38"/>
      <c r="T227" s="38"/>
      <c r="U227" s="38"/>
      <c r="V227" s="39"/>
      <c r="W227" s="38"/>
      <c r="X227" s="42"/>
      <c r="Y227" s="39"/>
      <c r="Z227" s="39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</row>
    <row r="228" ht="16.5" customHeight="1">
      <c r="A228" s="38"/>
      <c r="B228" s="38"/>
      <c r="C228" s="39"/>
      <c r="D228" s="38"/>
      <c r="E228" s="42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41"/>
      <c r="S228" s="38"/>
      <c r="T228" s="38"/>
      <c r="U228" s="38"/>
      <c r="V228" s="39"/>
      <c r="W228" s="38"/>
      <c r="X228" s="42"/>
      <c r="Y228" s="39"/>
      <c r="Z228" s="39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</row>
    <row r="229" ht="16.5" customHeight="1">
      <c r="A229" s="38"/>
      <c r="B229" s="38"/>
      <c r="C229" s="39"/>
      <c r="D229" s="38"/>
      <c r="E229" s="42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41"/>
      <c r="S229" s="38"/>
      <c r="T229" s="38"/>
      <c r="U229" s="38"/>
      <c r="V229" s="39"/>
      <c r="W229" s="38"/>
      <c r="X229" s="42"/>
      <c r="Y229" s="39"/>
      <c r="Z229" s="39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</row>
    <row r="230" ht="16.5" customHeight="1">
      <c r="A230" s="38"/>
      <c r="B230" s="38"/>
      <c r="C230" s="39"/>
      <c r="D230" s="38"/>
      <c r="E230" s="42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41"/>
      <c r="S230" s="38"/>
      <c r="T230" s="38"/>
      <c r="U230" s="38"/>
      <c r="V230" s="39"/>
      <c r="W230" s="38"/>
      <c r="X230" s="42"/>
      <c r="Y230" s="39"/>
      <c r="Z230" s="39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</row>
    <row r="231" ht="16.5" customHeight="1">
      <c r="A231" s="38"/>
      <c r="B231" s="38"/>
      <c r="C231" s="39"/>
      <c r="D231" s="38"/>
      <c r="E231" s="42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41"/>
      <c r="S231" s="38"/>
      <c r="T231" s="38"/>
      <c r="U231" s="38"/>
      <c r="V231" s="39"/>
      <c r="W231" s="38"/>
      <c r="X231" s="42"/>
      <c r="Y231" s="39"/>
      <c r="Z231" s="39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</row>
    <row r="232" ht="16.5" customHeight="1">
      <c r="A232" s="38"/>
      <c r="B232" s="38"/>
      <c r="C232" s="39"/>
      <c r="D232" s="38"/>
      <c r="E232" s="42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41"/>
      <c r="S232" s="38"/>
      <c r="T232" s="38"/>
      <c r="U232" s="38"/>
      <c r="V232" s="39"/>
      <c r="W232" s="38"/>
      <c r="X232" s="42"/>
      <c r="Y232" s="39"/>
      <c r="Z232" s="39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</row>
    <row r="233" ht="16.5" customHeight="1">
      <c r="A233" s="38"/>
      <c r="B233" s="38"/>
      <c r="C233" s="39"/>
      <c r="D233" s="38"/>
      <c r="E233" s="42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41"/>
      <c r="S233" s="38"/>
      <c r="T233" s="38"/>
      <c r="U233" s="38"/>
      <c r="V233" s="39"/>
      <c r="W233" s="38"/>
      <c r="X233" s="42"/>
      <c r="Y233" s="39"/>
      <c r="Z233" s="39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</row>
    <row r="234" ht="16.5" customHeight="1">
      <c r="A234" s="38"/>
      <c r="B234" s="38"/>
      <c r="C234" s="39"/>
      <c r="D234" s="38"/>
      <c r="E234" s="42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41"/>
      <c r="S234" s="38"/>
      <c r="T234" s="38"/>
      <c r="U234" s="38"/>
      <c r="V234" s="39"/>
      <c r="W234" s="38"/>
      <c r="X234" s="42"/>
      <c r="Y234" s="39"/>
      <c r="Z234" s="39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</row>
    <row r="235" ht="16.5" customHeight="1">
      <c r="A235" s="38"/>
      <c r="B235" s="38"/>
      <c r="C235" s="39"/>
      <c r="D235" s="38"/>
      <c r="E235" s="42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41"/>
      <c r="S235" s="38"/>
      <c r="T235" s="38"/>
      <c r="U235" s="38"/>
      <c r="V235" s="39"/>
      <c r="W235" s="38"/>
      <c r="X235" s="42"/>
      <c r="Y235" s="39"/>
      <c r="Z235" s="39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</row>
    <row r="236" ht="16.5" customHeight="1">
      <c r="A236" s="38"/>
      <c r="B236" s="38"/>
      <c r="C236" s="39"/>
      <c r="D236" s="38"/>
      <c r="E236" s="42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41"/>
      <c r="S236" s="38"/>
      <c r="T236" s="38"/>
      <c r="U236" s="38"/>
      <c r="V236" s="39"/>
      <c r="W236" s="38"/>
      <c r="X236" s="42"/>
      <c r="Y236" s="39"/>
      <c r="Z236" s="39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</row>
    <row r="237" ht="16.5" customHeight="1">
      <c r="A237" s="38"/>
      <c r="B237" s="38"/>
      <c r="C237" s="39"/>
      <c r="D237" s="38"/>
      <c r="E237" s="42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41"/>
      <c r="S237" s="38"/>
      <c r="T237" s="38"/>
      <c r="U237" s="38"/>
      <c r="V237" s="39"/>
      <c r="W237" s="38"/>
      <c r="X237" s="42"/>
      <c r="Y237" s="39"/>
      <c r="Z237" s="39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</row>
    <row r="238" ht="16.5" customHeight="1">
      <c r="A238" s="38"/>
      <c r="B238" s="38"/>
      <c r="C238" s="39"/>
      <c r="D238" s="38"/>
      <c r="E238" s="42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41"/>
      <c r="S238" s="38"/>
      <c r="T238" s="38"/>
      <c r="U238" s="38"/>
      <c r="V238" s="39"/>
      <c r="W238" s="38"/>
      <c r="X238" s="42"/>
      <c r="Y238" s="39"/>
      <c r="Z238" s="39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</row>
    <row r="239" ht="16.5" customHeight="1">
      <c r="A239" s="38"/>
      <c r="B239" s="38"/>
      <c r="C239" s="39"/>
      <c r="D239" s="38"/>
      <c r="E239" s="42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41"/>
      <c r="S239" s="38"/>
      <c r="T239" s="38"/>
      <c r="U239" s="38"/>
      <c r="V239" s="39"/>
      <c r="W239" s="38"/>
      <c r="X239" s="42"/>
      <c r="Y239" s="39"/>
      <c r="Z239" s="39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</row>
    <row r="240" ht="16.5" customHeight="1">
      <c r="A240" s="38"/>
      <c r="B240" s="38"/>
      <c r="C240" s="39"/>
      <c r="D240" s="38"/>
      <c r="E240" s="42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41"/>
      <c r="S240" s="38"/>
      <c r="T240" s="38"/>
      <c r="U240" s="38"/>
      <c r="V240" s="39"/>
      <c r="W240" s="38"/>
      <c r="X240" s="42"/>
      <c r="Y240" s="39"/>
      <c r="Z240" s="39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</row>
    <row r="241" ht="16.5" customHeight="1">
      <c r="A241" s="38"/>
      <c r="B241" s="38"/>
      <c r="C241" s="39"/>
      <c r="D241" s="38"/>
      <c r="E241" s="42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41"/>
      <c r="S241" s="38"/>
      <c r="T241" s="38"/>
      <c r="U241" s="38"/>
      <c r="V241" s="39"/>
      <c r="W241" s="38"/>
      <c r="X241" s="42"/>
      <c r="Y241" s="39"/>
      <c r="Z241" s="39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</row>
    <row r="242" ht="16.5" customHeight="1">
      <c r="A242" s="38"/>
      <c r="B242" s="38"/>
      <c r="C242" s="39"/>
      <c r="D242" s="38"/>
      <c r="E242" s="42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41"/>
      <c r="S242" s="38"/>
      <c r="T242" s="38"/>
      <c r="U242" s="38"/>
      <c r="V242" s="39"/>
      <c r="W242" s="38"/>
      <c r="X242" s="42"/>
      <c r="Y242" s="39"/>
      <c r="Z242" s="39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</row>
    <row r="243" ht="16.5" customHeight="1">
      <c r="A243" s="38"/>
      <c r="B243" s="38"/>
      <c r="C243" s="39"/>
      <c r="D243" s="38"/>
      <c r="E243" s="42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41"/>
      <c r="S243" s="38"/>
      <c r="T243" s="38"/>
      <c r="U243" s="38"/>
      <c r="V243" s="39"/>
      <c r="W243" s="38"/>
      <c r="X243" s="42"/>
      <c r="Y243" s="39"/>
      <c r="Z243" s="39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</row>
    <row r="244" ht="16.5" customHeight="1">
      <c r="A244" s="38"/>
      <c r="B244" s="38"/>
      <c r="C244" s="39"/>
      <c r="D244" s="38"/>
      <c r="E244" s="42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41"/>
      <c r="S244" s="38"/>
      <c r="T244" s="38"/>
      <c r="U244" s="38"/>
      <c r="V244" s="39"/>
      <c r="W244" s="38"/>
      <c r="X244" s="42"/>
      <c r="Y244" s="39"/>
      <c r="Z244" s="39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</row>
    <row r="245" ht="16.5" customHeight="1">
      <c r="A245" s="38"/>
      <c r="B245" s="38"/>
      <c r="C245" s="39"/>
      <c r="D245" s="38"/>
      <c r="E245" s="42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41"/>
      <c r="S245" s="38"/>
      <c r="T245" s="38"/>
      <c r="U245" s="38"/>
      <c r="V245" s="39"/>
      <c r="W245" s="38"/>
      <c r="X245" s="42"/>
      <c r="Y245" s="39"/>
      <c r="Z245" s="39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</row>
    <row r="246" ht="16.5" customHeight="1">
      <c r="A246" s="38"/>
      <c r="B246" s="38"/>
      <c r="C246" s="39"/>
      <c r="D246" s="38"/>
      <c r="E246" s="42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41"/>
      <c r="S246" s="38"/>
      <c r="T246" s="38"/>
      <c r="U246" s="38"/>
      <c r="V246" s="39"/>
      <c r="W246" s="38"/>
      <c r="X246" s="42"/>
      <c r="Y246" s="39"/>
      <c r="Z246" s="39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</row>
    <row r="247" ht="16.5" customHeight="1">
      <c r="A247" s="38"/>
      <c r="B247" s="38"/>
      <c r="C247" s="39"/>
      <c r="D247" s="38"/>
      <c r="E247" s="42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41"/>
      <c r="S247" s="38"/>
      <c r="T247" s="38"/>
      <c r="U247" s="38"/>
      <c r="V247" s="39"/>
      <c r="W247" s="38"/>
      <c r="X247" s="42"/>
      <c r="Y247" s="39"/>
      <c r="Z247" s="39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</row>
    <row r="248" ht="16.5" customHeight="1">
      <c r="A248" s="38"/>
      <c r="B248" s="38"/>
      <c r="C248" s="39"/>
      <c r="D248" s="38"/>
      <c r="E248" s="42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41"/>
      <c r="S248" s="38"/>
      <c r="T248" s="38"/>
      <c r="U248" s="38"/>
      <c r="V248" s="39"/>
      <c r="W248" s="38"/>
      <c r="X248" s="42"/>
      <c r="Y248" s="39"/>
      <c r="Z248" s="39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</row>
    <row r="249" ht="16.5" customHeight="1">
      <c r="A249" s="38"/>
      <c r="B249" s="38"/>
      <c r="C249" s="39"/>
      <c r="D249" s="38"/>
      <c r="E249" s="42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41"/>
      <c r="S249" s="38"/>
      <c r="T249" s="38"/>
      <c r="U249" s="38"/>
      <c r="V249" s="39"/>
      <c r="W249" s="38"/>
      <c r="X249" s="42"/>
      <c r="Y249" s="39"/>
      <c r="Z249" s="39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</row>
    <row r="250" ht="16.5" customHeight="1">
      <c r="A250" s="38"/>
      <c r="B250" s="38"/>
      <c r="C250" s="39"/>
      <c r="D250" s="38"/>
      <c r="E250" s="42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41"/>
      <c r="S250" s="38"/>
      <c r="T250" s="38"/>
      <c r="U250" s="38"/>
      <c r="V250" s="39"/>
      <c r="W250" s="38"/>
      <c r="X250" s="42"/>
      <c r="Y250" s="39"/>
      <c r="Z250" s="39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</row>
    <row r="251" ht="16.5" customHeight="1">
      <c r="A251" s="38"/>
      <c r="B251" s="38"/>
      <c r="C251" s="39"/>
      <c r="D251" s="38"/>
      <c r="E251" s="42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41"/>
      <c r="S251" s="38"/>
      <c r="T251" s="38"/>
      <c r="U251" s="38"/>
      <c r="V251" s="39"/>
      <c r="W251" s="38"/>
      <c r="X251" s="42"/>
      <c r="Y251" s="39"/>
      <c r="Z251" s="39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</row>
    <row r="252" ht="16.5" customHeight="1">
      <c r="A252" s="38"/>
      <c r="B252" s="38"/>
      <c r="C252" s="39"/>
      <c r="D252" s="38"/>
      <c r="E252" s="42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41"/>
      <c r="S252" s="38"/>
      <c r="T252" s="38"/>
      <c r="U252" s="38"/>
      <c r="V252" s="39"/>
      <c r="W252" s="38"/>
      <c r="X252" s="42"/>
      <c r="Y252" s="39"/>
      <c r="Z252" s="39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</row>
    <row r="253" ht="16.5" customHeight="1">
      <c r="A253" s="38"/>
      <c r="B253" s="38"/>
      <c r="C253" s="39"/>
      <c r="D253" s="38"/>
      <c r="E253" s="42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41"/>
      <c r="S253" s="38"/>
      <c r="T253" s="38"/>
      <c r="U253" s="38"/>
      <c r="V253" s="39"/>
      <c r="W253" s="38"/>
      <c r="X253" s="42"/>
      <c r="Y253" s="39"/>
      <c r="Z253" s="39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</row>
    <row r="254" ht="16.5" customHeight="1">
      <c r="A254" s="38"/>
      <c r="B254" s="38"/>
      <c r="C254" s="39"/>
      <c r="D254" s="38"/>
      <c r="E254" s="42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41"/>
      <c r="S254" s="38"/>
      <c r="T254" s="38"/>
      <c r="U254" s="38"/>
      <c r="V254" s="39"/>
      <c r="W254" s="38"/>
      <c r="X254" s="42"/>
      <c r="Y254" s="39"/>
      <c r="Z254" s="39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</row>
    <row r="255" ht="16.5" customHeight="1">
      <c r="A255" s="38"/>
      <c r="B255" s="38"/>
      <c r="C255" s="39"/>
      <c r="D255" s="38"/>
      <c r="E255" s="42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41"/>
      <c r="S255" s="38"/>
      <c r="T255" s="38"/>
      <c r="U255" s="38"/>
      <c r="V255" s="39"/>
      <c r="W255" s="38"/>
      <c r="X255" s="42"/>
      <c r="Y255" s="39"/>
      <c r="Z255" s="39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</row>
    <row r="256" ht="16.5" customHeight="1">
      <c r="A256" s="38"/>
      <c r="B256" s="38"/>
      <c r="C256" s="39"/>
      <c r="D256" s="38"/>
      <c r="E256" s="42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41"/>
      <c r="S256" s="38"/>
      <c r="T256" s="38"/>
      <c r="U256" s="38"/>
      <c r="V256" s="39"/>
      <c r="W256" s="38"/>
      <c r="X256" s="42"/>
      <c r="Y256" s="39"/>
      <c r="Z256" s="39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</row>
    <row r="257" ht="16.5" customHeight="1">
      <c r="A257" s="38"/>
      <c r="B257" s="38"/>
      <c r="C257" s="39"/>
      <c r="D257" s="38"/>
      <c r="E257" s="42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41"/>
      <c r="S257" s="38"/>
      <c r="T257" s="38"/>
      <c r="U257" s="38"/>
      <c r="V257" s="39"/>
      <c r="W257" s="38"/>
      <c r="X257" s="42"/>
      <c r="Y257" s="39"/>
      <c r="Z257" s="39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</row>
    <row r="258" ht="16.5" customHeight="1">
      <c r="A258" s="38"/>
      <c r="B258" s="38"/>
      <c r="C258" s="39"/>
      <c r="D258" s="38"/>
      <c r="E258" s="42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41"/>
      <c r="S258" s="38"/>
      <c r="T258" s="38"/>
      <c r="U258" s="38"/>
      <c r="V258" s="39"/>
      <c r="W258" s="38"/>
      <c r="X258" s="42"/>
      <c r="Y258" s="39"/>
      <c r="Z258" s="39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</row>
    <row r="259" ht="16.5" customHeight="1">
      <c r="A259" s="38"/>
      <c r="B259" s="38"/>
      <c r="C259" s="39"/>
      <c r="D259" s="38"/>
      <c r="E259" s="42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41"/>
      <c r="S259" s="38"/>
      <c r="T259" s="38"/>
      <c r="U259" s="38"/>
      <c r="V259" s="39"/>
      <c r="W259" s="38"/>
      <c r="X259" s="42"/>
      <c r="Y259" s="39"/>
      <c r="Z259" s="39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</row>
    <row r="260" ht="16.5" customHeight="1">
      <c r="A260" s="38"/>
      <c r="B260" s="38"/>
      <c r="C260" s="39"/>
      <c r="D260" s="38"/>
      <c r="E260" s="42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41"/>
      <c r="S260" s="38"/>
      <c r="T260" s="38"/>
      <c r="U260" s="38"/>
      <c r="V260" s="39"/>
      <c r="W260" s="38"/>
      <c r="X260" s="42"/>
      <c r="Y260" s="39"/>
      <c r="Z260" s="39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</row>
    <row r="261" ht="16.5" customHeight="1">
      <c r="A261" s="38"/>
      <c r="B261" s="38"/>
      <c r="C261" s="39"/>
      <c r="D261" s="38"/>
      <c r="E261" s="42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41"/>
      <c r="S261" s="38"/>
      <c r="T261" s="38"/>
      <c r="U261" s="38"/>
      <c r="V261" s="39"/>
      <c r="W261" s="38"/>
      <c r="X261" s="42"/>
      <c r="Y261" s="39"/>
      <c r="Z261" s="39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</row>
    <row r="262" ht="16.5" customHeight="1">
      <c r="A262" s="38"/>
      <c r="B262" s="38"/>
      <c r="C262" s="39"/>
      <c r="D262" s="38"/>
      <c r="E262" s="42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41"/>
      <c r="S262" s="38"/>
      <c r="T262" s="38"/>
      <c r="U262" s="38"/>
      <c r="V262" s="39"/>
      <c r="W262" s="38"/>
      <c r="X262" s="42"/>
      <c r="Y262" s="39"/>
      <c r="Z262" s="39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</row>
    <row r="263" ht="16.5" customHeight="1">
      <c r="A263" s="38"/>
      <c r="B263" s="38"/>
      <c r="C263" s="39"/>
      <c r="D263" s="38"/>
      <c r="E263" s="42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41"/>
      <c r="S263" s="38"/>
      <c r="T263" s="38"/>
      <c r="U263" s="38"/>
      <c r="V263" s="39"/>
      <c r="W263" s="38"/>
      <c r="X263" s="42"/>
      <c r="Y263" s="39"/>
      <c r="Z263" s="39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</row>
    <row r="264" ht="16.5" customHeight="1">
      <c r="A264" s="38"/>
      <c r="B264" s="38"/>
      <c r="C264" s="39"/>
      <c r="D264" s="38"/>
      <c r="E264" s="42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41"/>
      <c r="S264" s="38"/>
      <c r="T264" s="38"/>
      <c r="U264" s="38"/>
      <c r="V264" s="39"/>
      <c r="W264" s="38"/>
      <c r="X264" s="42"/>
      <c r="Y264" s="39"/>
      <c r="Z264" s="39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</row>
    <row r="265" ht="16.5" customHeight="1">
      <c r="A265" s="38"/>
      <c r="B265" s="38"/>
      <c r="C265" s="39"/>
      <c r="D265" s="38"/>
      <c r="E265" s="42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41"/>
      <c r="S265" s="38"/>
      <c r="T265" s="38"/>
      <c r="U265" s="38"/>
      <c r="V265" s="39"/>
      <c r="W265" s="38"/>
      <c r="X265" s="42"/>
      <c r="Y265" s="39"/>
      <c r="Z265" s="39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</row>
    <row r="266" ht="16.5" customHeight="1">
      <c r="A266" s="38"/>
      <c r="B266" s="38"/>
      <c r="C266" s="39"/>
      <c r="D266" s="38"/>
      <c r="E266" s="42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41"/>
      <c r="S266" s="38"/>
      <c r="T266" s="38"/>
      <c r="U266" s="38"/>
      <c r="V266" s="39"/>
      <c r="W266" s="38"/>
      <c r="X266" s="42"/>
      <c r="Y266" s="39"/>
      <c r="Z266" s="39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</row>
    <row r="267" ht="16.5" customHeight="1">
      <c r="A267" s="38"/>
      <c r="B267" s="38"/>
      <c r="C267" s="39"/>
      <c r="D267" s="38"/>
      <c r="E267" s="42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41"/>
      <c r="S267" s="38"/>
      <c r="T267" s="38"/>
      <c r="U267" s="38"/>
      <c r="V267" s="39"/>
      <c r="W267" s="38"/>
      <c r="X267" s="42"/>
      <c r="Y267" s="39"/>
      <c r="Z267" s="39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</row>
    <row r="268" ht="16.5" customHeight="1">
      <c r="A268" s="38"/>
      <c r="B268" s="38"/>
      <c r="C268" s="39"/>
      <c r="D268" s="38"/>
      <c r="E268" s="42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41"/>
      <c r="S268" s="38"/>
      <c r="T268" s="38"/>
      <c r="U268" s="38"/>
      <c r="V268" s="39"/>
      <c r="W268" s="38"/>
      <c r="X268" s="42"/>
      <c r="Y268" s="39"/>
      <c r="Z268" s="39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</row>
    <row r="269" ht="16.5" customHeight="1">
      <c r="A269" s="38"/>
      <c r="B269" s="38"/>
      <c r="C269" s="39"/>
      <c r="D269" s="38"/>
      <c r="E269" s="42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41"/>
      <c r="S269" s="38"/>
      <c r="T269" s="38"/>
      <c r="U269" s="38"/>
      <c r="V269" s="39"/>
      <c r="W269" s="38"/>
      <c r="X269" s="42"/>
      <c r="Y269" s="39"/>
      <c r="Z269" s="39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</row>
    <row r="270" ht="16.5" customHeight="1">
      <c r="A270" s="38"/>
      <c r="B270" s="38"/>
      <c r="C270" s="39"/>
      <c r="D270" s="38"/>
      <c r="E270" s="42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41"/>
      <c r="S270" s="38"/>
      <c r="T270" s="38"/>
      <c r="U270" s="38"/>
      <c r="V270" s="39"/>
      <c r="W270" s="38"/>
      <c r="X270" s="42"/>
      <c r="Y270" s="39"/>
      <c r="Z270" s="39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</row>
    <row r="271" ht="16.5" customHeight="1">
      <c r="A271" s="38"/>
      <c r="B271" s="38"/>
      <c r="C271" s="39"/>
      <c r="D271" s="38"/>
      <c r="E271" s="42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41"/>
      <c r="S271" s="38"/>
      <c r="T271" s="38"/>
      <c r="U271" s="38"/>
      <c r="V271" s="39"/>
      <c r="W271" s="38"/>
      <c r="X271" s="42"/>
      <c r="Y271" s="39"/>
      <c r="Z271" s="39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</row>
    <row r="272" ht="16.5" customHeight="1">
      <c r="A272" s="38"/>
      <c r="B272" s="38"/>
      <c r="C272" s="39"/>
      <c r="D272" s="38"/>
      <c r="E272" s="42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41"/>
      <c r="S272" s="38"/>
      <c r="T272" s="38"/>
      <c r="U272" s="38"/>
      <c r="V272" s="39"/>
      <c r="W272" s="38"/>
      <c r="X272" s="42"/>
      <c r="Y272" s="39"/>
      <c r="Z272" s="39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</row>
    <row r="273" ht="16.5" customHeight="1">
      <c r="A273" s="38"/>
      <c r="B273" s="38"/>
      <c r="C273" s="39"/>
      <c r="D273" s="38"/>
      <c r="E273" s="42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41"/>
      <c r="S273" s="38"/>
      <c r="T273" s="38"/>
      <c r="U273" s="38"/>
      <c r="V273" s="39"/>
      <c r="W273" s="38"/>
      <c r="X273" s="42"/>
      <c r="Y273" s="39"/>
      <c r="Z273" s="39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</row>
    <row r="274" ht="16.5" customHeight="1">
      <c r="A274" s="38"/>
      <c r="B274" s="38"/>
      <c r="C274" s="39"/>
      <c r="D274" s="38"/>
      <c r="E274" s="42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41"/>
      <c r="S274" s="38"/>
      <c r="T274" s="38"/>
      <c r="U274" s="38"/>
      <c r="V274" s="39"/>
      <c r="W274" s="38"/>
      <c r="X274" s="42"/>
      <c r="Y274" s="39"/>
      <c r="Z274" s="39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</row>
    <row r="275" ht="16.5" customHeight="1">
      <c r="A275" s="38"/>
      <c r="B275" s="38"/>
      <c r="C275" s="39"/>
      <c r="D275" s="38"/>
      <c r="E275" s="42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41"/>
      <c r="S275" s="38"/>
      <c r="T275" s="38"/>
      <c r="U275" s="38"/>
      <c r="V275" s="39"/>
      <c r="W275" s="38"/>
      <c r="X275" s="42"/>
      <c r="Y275" s="39"/>
      <c r="Z275" s="39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</row>
    <row r="276" ht="16.5" customHeight="1">
      <c r="A276" s="38"/>
      <c r="B276" s="38"/>
      <c r="C276" s="39"/>
      <c r="D276" s="38"/>
      <c r="E276" s="42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41"/>
      <c r="S276" s="38"/>
      <c r="T276" s="38"/>
      <c r="U276" s="38"/>
      <c r="V276" s="39"/>
      <c r="W276" s="38"/>
      <c r="X276" s="42"/>
      <c r="Y276" s="39"/>
      <c r="Z276" s="39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</row>
    <row r="277" ht="16.5" customHeight="1">
      <c r="A277" s="38"/>
      <c r="B277" s="38"/>
      <c r="C277" s="39"/>
      <c r="D277" s="38"/>
      <c r="E277" s="42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41"/>
      <c r="S277" s="38"/>
      <c r="T277" s="38"/>
      <c r="U277" s="38"/>
      <c r="V277" s="39"/>
      <c r="W277" s="38"/>
      <c r="X277" s="42"/>
      <c r="Y277" s="39"/>
      <c r="Z277" s="39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</row>
    <row r="278" ht="16.5" customHeight="1">
      <c r="A278" s="38"/>
      <c r="B278" s="38"/>
      <c r="C278" s="39"/>
      <c r="D278" s="38"/>
      <c r="E278" s="42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41"/>
      <c r="S278" s="38"/>
      <c r="T278" s="38"/>
      <c r="U278" s="38"/>
      <c r="V278" s="39"/>
      <c r="W278" s="38"/>
      <c r="X278" s="42"/>
      <c r="Y278" s="39"/>
      <c r="Z278" s="39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</row>
    <row r="279" ht="16.5" customHeight="1">
      <c r="A279" s="38"/>
      <c r="B279" s="38"/>
      <c r="C279" s="39"/>
      <c r="D279" s="38"/>
      <c r="E279" s="42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41"/>
      <c r="S279" s="38"/>
      <c r="T279" s="38"/>
      <c r="U279" s="38"/>
      <c r="V279" s="39"/>
      <c r="W279" s="38"/>
      <c r="X279" s="42"/>
      <c r="Y279" s="39"/>
      <c r="Z279" s="39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</row>
    <row r="280" ht="16.5" customHeight="1">
      <c r="A280" s="38"/>
      <c r="B280" s="38"/>
      <c r="C280" s="39"/>
      <c r="D280" s="38"/>
      <c r="E280" s="42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41"/>
      <c r="S280" s="38"/>
      <c r="T280" s="38"/>
      <c r="U280" s="38"/>
      <c r="V280" s="39"/>
      <c r="W280" s="38"/>
      <c r="X280" s="42"/>
      <c r="Y280" s="39"/>
      <c r="Z280" s="39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</row>
    <row r="281" ht="16.5" customHeight="1">
      <c r="A281" s="38"/>
      <c r="B281" s="38"/>
      <c r="C281" s="39"/>
      <c r="D281" s="38"/>
      <c r="E281" s="42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41"/>
      <c r="S281" s="38"/>
      <c r="T281" s="38"/>
      <c r="U281" s="38"/>
      <c r="V281" s="39"/>
      <c r="W281" s="38"/>
      <c r="X281" s="42"/>
      <c r="Y281" s="39"/>
      <c r="Z281" s="39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</row>
    <row r="282" ht="16.5" customHeight="1">
      <c r="A282" s="38"/>
      <c r="B282" s="38"/>
      <c r="C282" s="39"/>
      <c r="D282" s="38"/>
      <c r="E282" s="42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41"/>
      <c r="S282" s="38"/>
      <c r="T282" s="38"/>
      <c r="U282" s="38"/>
      <c r="V282" s="39"/>
      <c r="W282" s="38"/>
      <c r="X282" s="42"/>
      <c r="Y282" s="39"/>
      <c r="Z282" s="39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</row>
    <row r="283" ht="16.5" customHeight="1">
      <c r="A283" s="38"/>
      <c r="B283" s="38"/>
      <c r="C283" s="39"/>
      <c r="D283" s="38"/>
      <c r="E283" s="42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41"/>
      <c r="S283" s="38"/>
      <c r="T283" s="38"/>
      <c r="U283" s="38"/>
      <c r="V283" s="39"/>
      <c r="W283" s="38"/>
      <c r="X283" s="42"/>
      <c r="Y283" s="39"/>
      <c r="Z283" s="39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</row>
    <row r="284" ht="16.5" customHeight="1">
      <c r="A284" s="38"/>
      <c r="B284" s="38"/>
      <c r="C284" s="39"/>
      <c r="D284" s="38"/>
      <c r="E284" s="42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41"/>
      <c r="S284" s="38"/>
      <c r="T284" s="38"/>
      <c r="U284" s="38"/>
      <c r="V284" s="39"/>
      <c r="W284" s="38"/>
      <c r="X284" s="42"/>
      <c r="Y284" s="39"/>
      <c r="Z284" s="39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</row>
    <row r="285" ht="16.5" customHeight="1">
      <c r="A285" s="38"/>
      <c r="B285" s="38"/>
      <c r="C285" s="39"/>
      <c r="D285" s="38"/>
      <c r="E285" s="42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41"/>
      <c r="S285" s="38"/>
      <c r="T285" s="38"/>
      <c r="U285" s="38"/>
      <c r="V285" s="39"/>
      <c r="W285" s="38"/>
      <c r="X285" s="42"/>
      <c r="Y285" s="39"/>
      <c r="Z285" s="39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</row>
    <row r="286" ht="16.5" customHeight="1">
      <c r="A286" s="38"/>
      <c r="B286" s="38"/>
      <c r="C286" s="39"/>
      <c r="D286" s="38"/>
      <c r="E286" s="42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41"/>
      <c r="S286" s="38"/>
      <c r="T286" s="38"/>
      <c r="U286" s="38"/>
      <c r="V286" s="39"/>
      <c r="W286" s="38"/>
      <c r="X286" s="42"/>
      <c r="Y286" s="39"/>
      <c r="Z286" s="39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</row>
    <row r="287" ht="16.5" customHeight="1">
      <c r="A287" s="38"/>
      <c r="B287" s="38"/>
      <c r="C287" s="39"/>
      <c r="D287" s="38"/>
      <c r="E287" s="42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41"/>
      <c r="S287" s="38"/>
      <c r="T287" s="38"/>
      <c r="U287" s="38"/>
      <c r="V287" s="39"/>
      <c r="W287" s="38"/>
      <c r="X287" s="42"/>
      <c r="Y287" s="39"/>
      <c r="Z287" s="39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</row>
    <row r="288" ht="16.5" customHeight="1">
      <c r="A288" s="38"/>
      <c r="B288" s="38"/>
      <c r="C288" s="39"/>
      <c r="D288" s="38"/>
      <c r="E288" s="42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41"/>
      <c r="S288" s="38"/>
      <c r="T288" s="38"/>
      <c r="U288" s="38"/>
      <c r="V288" s="39"/>
      <c r="W288" s="38"/>
      <c r="X288" s="42"/>
      <c r="Y288" s="39"/>
      <c r="Z288" s="39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</row>
    <row r="289" ht="16.5" customHeight="1">
      <c r="A289" s="38"/>
      <c r="B289" s="38"/>
      <c r="C289" s="39"/>
      <c r="D289" s="38"/>
      <c r="E289" s="42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41"/>
      <c r="S289" s="38"/>
      <c r="T289" s="38"/>
      <c r="U289" s="38"/>
      <c r="V289" s="39"/>
      <c r="W289" s="38"/>
      <c r="X289" s="42"/>
      <c r="Y289" s="39"/>
      <c r="Z289" s="39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</row>
    <row r="290" ht="16.5" customHeight="1">
      <c r="A290" s="38"/>
      <c r="B290" s="38"/>
      <c r="C290" s="39"/>
      <c r="D290" s="38"/>
      <c r="E290" s="42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41"/>
      <c r="S290" s="38"/>
      <c r="T290" s="38"/>
      <c r="U290" s="38"/>
      <c r="V290" s="39"/>
      <c r="W290" s="38"/>
      <c r="X290" s="42"/>
      <c r="Y290" s="39"/>
      <c r="Z290" s="39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</row>
    <row r="291" ht="16.5" customHeight="1">
      <c r="A291" s="38"/>
      <c r="B291" s="38"/>
      <c r="C291" s="39"/>
      <c r="D291" s="38"/>
      <c r="E291" s="42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41"/>
      <c r="S291" s="38"/>
      <c r="T291" s="38"/>
      <c r="U291" s="38"/>
      <c r="V291" s="39"/>
      <c r="W291" s="38"/>
      <c r="X291" s="42"/>
      <c r="Y291" s="39"/>
      <c r="Z291" s="39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</row>
    <row r="292" ht="16.5" customHeight="1">
      <c r="A292" s="38"/>
      <c r="B292" s="38"/>
      <c r="C292" s="39"/>
      <c r="D292" s="38"/>
      <c r="E292" s="42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41"/>
      <c r="S292" s="38"/>
      <c r="T292" s="38"/>
      <c r="U292" s="38"/>
      <c r="V292" s="39"/>
      <c r="W292" s="38"/>
      <c r="X292" s="42"/>
      <c r="Y292" s="39"/>
      <c r="Z292" s="39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</row>
    <row r="293" ht="16.5" customHeight="1">
      <c r="A293" s="38"/>
      <c r="B293" s="38"/>
      <c r="C293" s="39"/>
      <c r="D293" s="38"/>
      <c r="E293" s="42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41"/>
      <c r="S293" s="38"/>
      <c r="T293" s="38"/>
      <c r="U293" s="38"/>
      <c r="V293" s="39"/>
      <c r="W293" s="38"/>
      <c r="X293" s="42"/>
      <c r="Y293" s="39"/>
      <c r="Z293" s="39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</row>
    <row r="294" ht="16.5" customHeight="1">
      <c r="A294" s="38"/>
      <c r="B294" s="38"/>
      <c r="C294" s="39"/>
      <c r="D294" s="38"/>
      <c r="E294" s="42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41"/>
      <c r="S294" s="38"/>
      <c r="T294" s="38"/>
      <c r="U294" s="38"/>
      <c r="V294" s="39"/>
      <c r="W294" s="38"/>
      <c r="X294" s="42"/>
      <c r="Y294" s="39"/>
      <c r="Z294" s="39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</row>
    <row r="295" ht="16.5" customHeight="1">
      <c r="A295" s="38"/>
      <c r="B295" s="38"/>
      <c r="C295" s="39"/>
      <c r="D295" s="38"/>
      <c r="E295" s="42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41"/>
      <c r="S295" s="38"/>
      <c r="T295" s="38"/>
      <c r="U295" s="38"/>
      <c r="V295" s="39"/>
      <c r="W295" s="38"/>
      <c r="X295" s="42"/>
      <c r="Y295" s="39"/>
      <c r="Z295" s="39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</row>
    <row r="296" ht="16.5" customHeight="1">
      <c r="A296" s="38"/>
      <c r="B296" s="38"/>
      <c r="C296" s="39"/>
      <c r="D296" s="38"/>
      <c r="E296" s="42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41"/>
      <c r="S296" s="38"/>
      <c r="T296" s="38"/>
      <c r="U296" s="38"/>
      <c r="V296" s="39"/>
      <c r="W296" s="38"/>
      <c r="X296" s="42"/>
      <c r="Y296" s="39"/>
      <c r="Z296" s="39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</row>
    <row r="297" ht="16.5" customHeight="1">
      <c r="A297" s="38"/>
      <c r="B297" s="38"/>
      <c r="C297" s="39"/>
      <c r="D297" s="38"/>
      <c r="E297" s="42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41"/>
      <c r="S297" s="38"/>
      <c r="T297" s="38"/>
      <c r="U297" s="38"/>
      <c r="V297" s="39"/>
      <c r="W297" s="38"/>
      <c r="X297" s="42"/>
      <c r="Y297" s="39"/>
      <c r="Z297" s="39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</row>
    <row r="298" ht="16.5" customHeight="1">
      <c r="A298" s="38"/>
      <c r="B298" s="38"/>
      <c r="C298" s="39"/>
      <c r="D298" s="38"/>
      <c r="E298" s="42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41"/>
      <c r="S298" s="38"/>
      <c r="T298" s="38"/>
      <c r="U298" s="38"/>
      <c r="V298" s="39"/>
      <c r="W298" s="38"/>
      <c r="X298" s="42"/>
      <c r="Y298" s="39"/>
      <c r="Z298" s="39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</row>
    <row r="299" ht="16.5" customHeight="1">
      <c r="A299" s="38"/>
      <c r="B299" s="38"/>
      <c r="C299" s="39"/>
      <c r="D299" s="38"/>
      <c r="E299" s="42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41"/>
      <c r="S299" s="38"/>
      <c r="T299" s="38"/>
      <c r="U299" s="38"/>
      <c r="V299" s="39"/>
      <c r="W299" s="38"/>
      <c r="X299" s="42"/>
      <c r="Y299" s="39"/>
      <c r="Z299" s="39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</row>
    <row r="300" ht="16.5" customHeight="1">
      <c r="A300" s="38"/>
      <c r="B300" s="38"/>
      <c r="C300" s="39"/>
      <c r="D300" s="38"/>
      <c r="E300" s="42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41"/>
      <c r="S300" s="38"/>
      <c r="T300" s="38"/>
      <c r="U300" s="38"/>
      <c r="V300" s="39"/>
      <c r="W300" s="38"/>
      <c r="X300" s="42"/>
      <c r="Y300" s="39"/>
      <c r="Z300" s="39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</row>
    <row r="301" ht="16.5" customHeight="1">
      <c r="A301" s="38"/>
      <c r="B301" s="38"/>
      <c r="C301" s="39"/>
      <c r="D301" s="38"/>
      <c r="E301" s="42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41"/>
      <c r="S301" s="38"/>
      <c r="T301" s="38"/>
      <c r="U301" s="38"/>
      <c r="V301" s="39"/>
      <c r="W301" s="38"/>
      <c r="X301" s="42"/>
      <c r="Y301" s="39"/>
      <c r="Z301" s="39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</row>
    <row r="302" ht="16.5" customHeight="1">
      <c r="A302" s="38"/>
      <c r="B302" s="38"/>
      <c r="C302" s="39"/>
      <c r="D302" s="38"/>
      <c r="E302" s="42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41"/>
      <c r="S302" s="38"/>
      <c r="T302" s="38"/>
      <c r="U302" s="38"/>
      <c r="V302" s="39"/>
      <c r="W302" s="38"/>
      <c r="X302" s="42"/>
      <c r="Y302" s="39"/>
      <c r="Z302" s="39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</row>
    <row r="303" ht="16.5" customHeight="1">
      <c r="A303" s="38"/>
      <c r="B303" s="38"/>
      <c r="C303" s="39"/>
      <c r="D303" s="38"/>
      <c r="E303" s="42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41"/>
      <c r="S303" s="38"/>
      <c r="T303" s="38"/>
      <c r="U303" s="38"/>
      <c r="V303" s="39"/>
      <c r="W303" s="38"/>
      <c r="X303" s="42"/>
      <c r="Y303" s="39"/>
      <c r="Z303" s="39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</row>
    <row r="304" ht="16.5" customHeight="1">
      <c r="A304" s="38"/>
      <c r="B304" s="38"/>
      <c r="C304" s="39"/>
      <c r="D304" s="38"/>
      <c r="E304" s="42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41"/>
      <c r="S304" s="38"/>
      <c r="T304" s="38"/>
      <c r="U304" s="38"/>
      <c r="V304" s="39"/>
      <c r="W304" s="38"/>
      <c r="X304" s="42"/>
      <c r="Y304" s="39"/>
      <c r="Z304" s="39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</row>
    <row r="305" ht="16.5" customHeight="1">
      <c r="A305" s="38"/>
      <c r="B305" s="38"/>
      <c r="C305" s="39"/>
      <c r="D305" s="38"/>
      <c r="E305" s="42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41"/>
      <c r="S305" s="38"/>
      <c r="T305" s="38"/>
      <c r="U305" s="38"/>
      <c r="V305" s="39"/>
      <c r="W305" s="38"/>
      <c r="X305" s="42"/>
      <c r="Y305" s="39"/>
      <c r="Z305" s="39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</row>
    <row r="306" ht="16.5" customHeight="1">
      <c r="A306" s="38"/>
      <c r="B306" s="38"/>
      <c r="C306" s="39"/>
      <c r="D306" s="38"/>
      <c r="E306" s="42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41"/>
      <c r="S306" s="38"/>
      <c r="T306" s="38"/>
      <c r="U306" s="38"/>
      <c r="V306" s="39"/>
      <c r="W306" s="38"/>
      <c r="X306" s="42"/>
      <c r="Y306" s="39"/>
      <c r="Z306" s="39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</row>
    <row r="307" ht="16.5" customHeight="1">
      <c r="A307" s="38"/>
      <c r="B307" s="38"/>
      <c r="C307" s="39"/>
      <c r="D307" s="38"/>
      <c r="E307" s="42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41"/>
      <c r="S307" s="38"/>
      <c r="T307" s="38"/>
      <c r="U307" s="38"/>
      <c r="V307" s="39"/>
      <c r="W307" s="38"/>
      <c r="X307" s="42"/>
      <c r="Y307" s="39"/>
      <c r="Z307" s="39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</row>
    <row r="308" ht="16.5" customHeight="1">
      <c r="A308" s="38"/>
      <c r="B308" s="38"/>
      <c r="C308" s="39"/>
      <c r="D308" s="38"/>
      <c r="E308" s="42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41"/>
      <c r="S308" s="38"/>
      <c r="T308" s="38"/>
      <c r="U308" s="38"/>
      <c r="V308" s="39"/>
      <c r="W308" s="38"/>
      <c r="X308" s="42"/>
      <c r="Y308" s="39"/>
      <c r="Z308" s="39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</row>
    <row r="309" ht="16.5" customHeight="1">
      <c r="A309" s="38"/>
      <c r="B309" s="38"/>
      <c r="C309" s="39"/>
      <c r="D309" s="38"/>
      <c r="E309" s="42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41"/>
      <c r="S309" s="38"/>
      <c r="T309" s="38"/>
      <c r="U309" s="38"/>
      <c r="V309" s="39"/>
      <c r="W309" s="38"/>
      <c r="X309" s="42"/>
      <c r="Y309" s="39"/>
      <c r="Z309" s="39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</row>
    <row r="310" ht="16.5" customHeight="1">
      <c r="A310" s="38"/>
      <c r="B310" s="38"/>
      <c r="C310" s="39"/>
      <c r="D310" s="38"/>
      <c r="E310" s="42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41"/>
      <c r="S310" s="38"/>
      <c r="T310" s="38"/>
      <c r="U310" s="38"/>
      <c r="V310" s="39"/>
      <c r="W310" s="38"/>
      <c r="X310" s="42"/>
      <c r="Y310" s="39"/>
      <c r="Z310" s="39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</row>
    <row r="311" ht="16.5" customHeight="1">
      <c r="A311" s="38"/>
      <c r="B311" s="38"/>
      <c r="C311" s="39"/>
      <c r="D311" s="38"/>
      <c r="E311" s="42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41"/>
      <c r="S311" s="38"/>
      <c r="T311" s="38"/>
      <c r="U311" s="38"/>
      <c r="V311" s="39"/>
      <c r="W311" s="38"/>
      <c r="X311" s="42"/>
      <c r="Y311" s="39"/>
      <c r="Z311" s="39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</row>
    <row r="312" ht="16.5" customHeight="1">
      <c r="A312" s="38"/>
      <c r="B312" s="38"/>
      <c r="C312" s="39"/>
      <c r="D312" s="38"/>
      <c r="E312" s="42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41"/>
      <c r="S312" s="38"/>
      <c r="T312" s="38"/>
      <c r="U312" s="38"/>
      <c r="V312" s="39"/>
      <c r="W312" s="38"/>
      <c r="X312" s="42"/>
      <c r="Y312" s="39"/>
      <c r="Z312" s="39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</row>
    <row r="313" ht="16.5" customHeight="1">
      <c r="A313" s="38"/>
      <c r="B313" s="38"/>
      <c r="C313" s="39"/>
      <c r="D313" s="38"/>
      <c r="E313" s="42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41"/>
      <c r="S313" s="38"/>
      <c r="T313" s="38"/>
      <c r="U313" s="38"/>
      <c r="V313" s="39"/>
      <c r="W313" s="38"/>
      <c r="X313" s="42"/>
      <c r="Y313" s="39"/>
      <c r="Z313" s="39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</row>
    <row r="314" ht="16.5" customHeight="1">
      <c r="A314" s="38"/>
      <c r="B314" s="38"/>
      <c r="C314" s="39"/>
      <c r="D314" s="38"/>
      <c r="E314" s="42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41"/>
      <c r="S314" s="38"/>
      <c r="T314" s="38"/>
      <c r="U314" s="38"/>
      <c r="V314" s="39"/>
      <c r="W314" s="38"/>
      <c r="X314" s="42"/>
      <c r="Y314" s="39"/>
      <c r="Z314" s="39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</row>
    <row r="315" ht="16.5" customHeight="1">
      <c r="A315" s="38"/>
      <c r="B315" s="38"/>
      <c r="C315" s="39"/>
      <c r="D315" s="38"/>
      <c r="E315" s="42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41"/>
      <c r="S315" s="38"/>
      <c r="T315" s="38"/>
      <c r="U315" s="38"/>
      <c r="V315" s="39"/>
      <c r="W315" s="38"/>
      <c r="X315" s="42"/>
      <c r="Y315" s="39"/>
      <c r="Z315" s="39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</row>
    <row r="316" ht="16.5" customHeight="1">
      <c r="A316" s="38"/>
      <c r="B316" s="38"/>
      <c r="C316" s="39"/>
      <c r="D316" s="38"/>
      <c r="E316" s="42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41"/>
      <c r="S316" s="38"/>
      <c r="T316" s="38"/>
      <c r="U316" s="38"/>
      <c r="V316" s="39"/>
      <c r="W316" s="38"/>
      <c r="X316" s="42"/>
      <c r="Y316" s="39"/>
      <c r="Z316" s="39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</row>
    <row r="317" ht="16.5" customHeight="1">
      <c r="A317" s="38"/>
      <c r="B317" s="38"/>
      <c r="C317" s="39"/>
      <c r="D317" s="38"/>
      <c r="E317" s="42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41"/>
      <c r="S317" s="38"/>
      <c r="T317" s="38"/>
      <c r="U317" s="38"/>
      <c r="V317" s="39"/>
      <c r="W317" s="38"/>
      <c r="X317" s="42"/>
      <c r="Y317" s="39"/>
      <c r="Z317" s="39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</row>
    <row r="318" ht="16.5" customHeight="1">
      <c r="A318" s="38"/>
      <c r="B318" s="38"/>
      <c r="C318" s="39"/>
      <c r="D318" s="38"/>
      <c r="E318" s="42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41"/>
      <c r="S318" s="38"/>
      <c r="T318" s="38"/>
      <c r="U318" s="38"/>
      <c r="V318" s="39"/>
      <c r="W318" s="38"/>
      <c r="X318" s="42"/>
      <c r="Y318" s="39"/>
      <c r="Z318" s="39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</row>
    <row r="319" ht="16.5" customHeight="1">
      <c r="A319" s="38"/>
      <c r="B319" s="38"/>
      <c r="C319" s="39"/>
      <c r="D319" s="38"/>
      <c r="E319" s="42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41"/>
      <c r="S319" s="38"/>
      <c r="T319" s="38"/>
      <c r="U319" s="38"/>
      <c r="V319" s="39"/>
      <c r="W319" s="38"/>
      <c r="X319" s="42"/>
      <c r="Y319" s="39"/>
      <c r="Z319" s="39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</row>
    <row r="320" ht="16.5" customHeight="1">
      <c r="A320" s="38"/>
      <c r="B320" s="38"/>
      <c r="C320" s="39"/>
      <c r="D320" s="38"/>
      <c r="E320" s="42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41"/>
      <c r="S320" s="38"/>
      <c r="T320" s="38"/>
      <c r="U320" s="38"/>
      <c r="V320" s="39"/>
      <c r="W320" s="38"/>
      <c r="X320" s="42"/>
      <c r="Y320" s="39"/>
      <c r="Z320" s="39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</row>
    <row r="321" ht="16.5" customHeight="1">
      <c r="A321" s="38"/>
      <c r="B321" s="38"/>
      <c r="C321" s="39"/>
      <c r="D321" s="38"/>
      <c r="E321" s="42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41"/>
      <c r="S321" s="38"/>
      <c r="T321" s="38"/>
      <c r="U321" s="38"/>
      <c r="V321" s="39"/>
      <c r="W321" s="38"/>
      <c r="X321" s="42"/>
      <c r="Y321" s="39"/>
      <c r="Z321" s="39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</row>
    <row r="322" ht="16.5" customHeight="1">
      <c r="A322" s="38"/>
      <c r="B322" s="38"/>
      <c r="C322" s="39"/>
      <c r="D322" s="38"/>
      <c r="E322" s="42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41"/>
      <c r="S322" s="38"/>
      <c r="T322" s="38"/>
      <c r="U322" s="38"/>
      <c r="V322" s="39"/>
      <c r="W322" s="38"/>
      <c r="X322" s="42"/>
      <c r="Y322" s="39"/>
      <c r="Z322" s="39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</row>
    <row r="323" ht="16.5" customHeight="1">
      <c r="A323" s="38"/>
      <c r="B323" s="38"/>
      <c r="C323" s="39"/>
      <c r="D323" s="38"/>
      <c r="E323" s="42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41"/>
      <c r="S323" s="38"/>
      <c r="T323" s="38"/>
      <c r="U323" s="38"/>
      <c r="V323" s="39"/>
      <c r="W323" s="38"/>
      <c r="X323" s="42"/>
      <c r="Y323" s="39"/>
      <c r="Z323" s="39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</row>
    <row r="324" ht="16.5" customHeight="1">
      <c r="A324" s="38"/>
      <c r="B324" s="38"/>
      <c r="C324" s="39"/>
      <c r="D324" s="38"/>
      <c r="E324" s="42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41"/>
      <c r="S324" s="38"/>
      <c r="T324" s="38"/>
      <c r="U324" s="38"/>
      <c r="V324" s="39"/>
      <c r="W324" s="38"/>
      <c r="X324" s="42"/>
      <c r="Y324" s="39"/>
      <c r="Z324" s="39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</row>
    <row r="325" ht="16.5" customHeight="1">
      <c r="A325" s="38"/>
      <c r="B325" s="38"/>
      <c r="C325" s="39"/>
      <c r="D325" s="38"/>
      <c r="E325" s="42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41"/>
      <c r="S325" s="38"/>
      <c r="T325" s="38"/>
      <c r="U325" s="38"/>
      <c r="V325" s="39"/>
      <c r="W325" s="38"/>
      <c r="X325" s="42"/>
      <c r="Y325" s="39"/>
      <c r="Z325" s="39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</row>
    <row r="326" ht="16.5" customHeight="1">
      <c r="A326" s="38"/>
      <c r="B326" s="38"/>
      <c r="C326" s="39"/>
      <c r="D326" s="38"/>
      <c r="E326" s="42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41"/>
      <c r="S326" s="38"/>
      <c r="T326" s="38"/>
      <c r="U326" s="38"/>
      <c r="V326" s="39"/>
      <c r="W326" s="38"/>
      <c r="X326" s="42"/>
      <c r="Y326" s="39"/>
      <c r="Z326" s="39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</row>
    <row r="327" ht="16.5" customHeight="1">
      <c r="A327" s="38"/>
      <c r="B327" s="38"/>
      <c r="C327" s="39"/>
      <c r="D327" s="38"/>
      <c r="E327" s="42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41"/>
      <c r="S327" s="38"/>
      <c r="T327" s="38"/>
      <c r="U327" s="38"/>
      <c r="V327" s="39"/>
      <c r="W327" s="38"/>
      <c r="X327" s="42"/>
      <c r="Y327" s="39"/>
      <c r="Z327" s="39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</row>
    <row r="328" ht="16.5" customHeight="1">
      <c r="A328" s="38"/>
      <c r="B328" s="38"/>
      <c r="C328" s="39"/>
      <c r="D328" s="38"/>
      <c r="E328" s="42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41"/>
      <c r="S328" s="38"/>
      <c r="T328" s="38"/>
      <c r="U328" s="38"/>
      <c r="V328" s="39"/>
      <c r="W328" s="38"/>
      <c r="X328" s="42"/>
      <c r="Y328" s="39"/>
      <c r="Z328" s="39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</row>
    <row r="329" ht="16.5" customHeight="1">
      <c r="A329" s="38"/>
      <c r="B329" s="38"/>
      <c r="C329" s="39"/>
      <c r="D329" s="38"/>
      <c r="E329" s="42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41"/>
      <c r="S329" s="38"/>
      <c r="T329" s="38"/>
      <c r="U329" s="38"/>
      <c r="V329" s="39"/>
      <c r="W329" s="38"/>
      <c r="X329" s="42"/>
      <c r="Y329" s="39"/>
      <c r="Z329" s="39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</row>
    <row r="330" ht="16.5" customHeight="1">
      <c r="A330" s="38"/>
      <c r="B330" s="38"/>
      <c r="C330" s="39"/>
      <c r="D330" s="38"/>
      <c r="E330" s="42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41"/>
      <c r="S330" s="38"/>
      <c r="T330" s="38"/>
      <c r="U330" s="38"/>
      <c r="V330" s="39"/>
      <c r="W330" s="38"/>
      <c r="X330" s="42"/>
      <c r="Y330" s="39"/>
      <c r="Z330" s="39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</row>
    <row r="331" ht="16.5" customHeight="1">
      <c r="A331" s="38"/>
      <c r="B331" s="38"/>
      <c r="C331" s="39"/>
      <c r="D331" s="38"/>
      <c r="E331" s="42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41"/>
      <c r="S331" s="38"/>
      <c r="T331" s="38"/>
      <c r="U331" s="38"/>
      <c r="V331" s="39"/>
      <c r="W331" s="38"/>
      <c r="X331" s="42"/>
      <c r="Y331" s="39"/>
      <c r="Z331" s="39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</row>
    <row r="332" ht="16.5" customHeight="1">
      <c r="A332" s="38"/>
      <c r="B332" s="38"/>
      <c r="C332" s="39"/>
      <c r="D332" s="38"/>
      <c r="E332" s="42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41"/>
      <c r="S332" s="38"/>
      <c r="T332" s="38"/>
      <c r="U332" s="38"/>
      <c r="V332" s="39"/>
      <c r="W332" s="38"/>
      <c r="X332" s="42"/>
      <c r="Y332" s="39"/>
      <c r="Z332" s="39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</row>
    <row r="333" ht="16.5" customHeight="1">
      <c r="A333" s="38"/>
      <c r="B333" s="38"/>
      <c r="C333" s="39"/>
      <c r="D333" s="38"/>
      <c r="E333" s="42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41"/>
      <c r="S333" s="38"/>
      <c r="T333" s="38"/>
      <c r="U333" s="38"/>
      <c r="V333" s="39"/>
      <c r="W333" s="38"/>
      <c r="X333" s="42"/>
      <c r="Y333" s="39"/>
      <c r="Z333" s="39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</row>
    <row r="334" ht="16.5" customHeight="1">
      <c r="A334" s="38"/>
      <c r="B334" s="38"/>
      <c r="C334" s="39"/>
      <c r="D334" s="38"/>
      <c r="E334" s="42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41"/>
      <c r="S334" s="38"/>
      <c r="T334" s="38"/>
      <c r="U334" s="38"/>
      <c r="V334" s="39"/>
      <c r="W334" s="38"/>
      <c r="X334" s="42"/>
      <c r="Y334" s="39"/>
      <c r="Z334" s="39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</row>
    <row r="335" ht="16.5" customHeight="1">
      <c r="A335" s="38"/>
      <c r="B335" s="38"/>
      <c r="C335" s="39"/>
      <c r="D335" s="38"/>
      <c r="E335" s="42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41"/>
      <c r="S335" s="38"/>
      <c r="T335" s="38"/>
      <c r="U335" s="38"/>
      <c r="V335" s="39"/>
      <c r="W335" s="38"/>
      <c r="X335" s="42"/>
      <c r="Y335" s="39"/>
      <c r="Z335" s="39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</row>
    <row r="336" ht="16.5" customHeight="1">
      <c r="A336" s="38"/>
      <c r="B336" s="38"/>
      <c r="C336" s="39"/>
      <c r="D336" s="38"/>
      <c r="E336" s="42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41"/>
      <c r="S336" s="38"/>
      <c r="T336" s="38"/>
      <c r="U336" s="38"/>
      <c r="V336" s="39"/>
      <c r="W336" s="38"/>
      <c r="X336" s="42"/>
      <c r="Y336" s="39"/>
      <c r="Z336" s="39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</row>
    <row r="337" ht="16.5" customHeight="1">
      <c r="A337" s="38"/>
      <c r="B337" s="38"/>
      <c r="C337" s="39"/>
      <c r="D337" s="38"/>
      <c r="E337" s="42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41"/>
      <c r="S337" s="38"/>
      <c r="T337" s="38"/>
      <c r="U337" s="38"/>
      <c r="V337" s="39"/>
      <c r="W337" s="38"/>
      <c r="X337" s="42"/>
      <c r="Y337" s="39"/>
      <c r="Z337" s="39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</row>
    <row r="338" ht="16.5" customHeight="1">
      <c r="A338" s="38"/>
      <c r="B338" s="38"/>
      <c r="C338" s="39"/>
      <c r="D338" s="38"/>
      <c r="E338" s="42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41"/>
      <c r="S338" s="38"/>
      <c r="T338" s="38"/>
      <c r="U338" s="38"/>
      <c r="V338" s="39"/>
      <c r="W338" s="38"/>
      <c r="X338" s="42"/>
      <c r="Y338" s="39"/>
      <c r="Z338" s="39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</row>
    <row r="339" ht="16.5" customHeight="1">
      <c r="A339" s="38"/>
      <c r="B339" s="38"/>
      <c r="C339" s="39"/>
      <c r="D339" s="38"/>
      <c r="E339" s="42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41"/>
      <c r="S339" s="38"/>
      <c r="T339" s="38"/>
      <c r="U339" s="38"/>
      <c r="V339" s="39"/>
      <c r="W339" s="38"/>
      <c r="X339" s="42"/>
      <c r="Y339" s="39"/>
      <c r="Z339" s="39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</row>
    <row r="340" ht="16.5" customHeight="1">
      <c r="A340" s="38"/>
      <c r="B340" s="38"/>
      <c r="C340" s="39"/>
      <c r="D340" s="38"/>
      <c r="E340" s="42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41"/>
      <c r="S340" s="38"/>
      <c r="T340" s="38"/>
      <c r="U340" s="38"/>
      <c r="V340" s="39"/>
      <c r="W340" s="38"/>
      <c r="X340" s="42"/>
      <c r="Y340" s="39"/>
      <c r="Z340" s="39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</row>
    <row r="341" ht="16.5" customHeight="1">
      <c r="A341" s="38"/>
      <c r="B341" s="38"/>
      <c r="C341" s="39"/>
      <c r="D341" s="38"/>
      <c r="E341" s="42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41"/>
      <c r="S341" s="38"/>
      <c r="T341" s="38"/>
      <c r="U341" s="38"/>
      <c r="V341" s="39"/>
      <c r="W341" s="38"/>
      <c r="X341" s="42"/>
      <c r="Y341" s="39"/>
      <c r="Z341" s="39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</row>
    <row r="342" ht="16.5" customHeight="1">
      <c r="A342" s="38"/>
      <c r="B342" s="38"/>
      <c r="C342" s="39"/>
      <c r="D342" s="38"/>
      <c r="E342" s="42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41"/>
      <c r="S342" s="38"/>
      <c r="T342" s="38"/>
      <c r="U342" s="38"/>
      <c r="V342" s="39"/>
      <c r="W342" s="38"/>
      <c r="X342" s="42"/>
      <c r="Y342" s="39"/>
      <c r="Z342" s="39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</row>
    <row r="343" ht="16.5" customHeight="1">
      <c r="A343" s="38"/>
      <c r="B343" s="38"/>
      <c r="C343" s="39"/>
      <c r="D343" s="38"/>
      <c r="E343" s="42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41"/>
      <c r="S343" s="38"/>
      <c r="T343" s="38"/>
      <c r="U343" s="38"/>
      <c r="V343" s="39"/>
      <c r="W343" s="38"/>
      <c r="X343" s="42"/>
      <c r="Y343" s="39"/>
      <c r="Z343" s="39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</row>
    <row r="344" ht="16.5" customHeight="1">
      <c r="A344" s="38"/>
      <c r="B344" s="38"/>
      <c r="C344" s="39"/>
      <c r="D344" s="38"/>
      <c r="E344" s="42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41"/>
      <c r="S344" s="38"/>
      <c r="T344" s="38"/>
      <c r="U344" s="38"/>
      <c r="V344" s="39"/>
      <c r="W344" s="38"/>
      <c r="X344" s="42"/>
      <c r="Y344" s="39"/>
      <c r="Z344" s="39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</row>
    <row r="345" ht="16.5" customHeight="1">
      <c r="A345" s="38"/>
      <c r="B345" s="38"/>
      <c r="C345" s="39"/>
      <c r="D345" s="38"/>
      <c r="E345" s="42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41"/>
      <c r="S345" s="38"/>
      <c r="T345" s="38"/>
      <c r="U345" s="38"/>
      <c r="V345" s="39"/>
      <c r="W345" s="38"/>
      <c r="X345" s="42"/>
      <c r="Y345" s="39"/>
      <c r="Z345" s="39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</row>
    <row r="346" ht="16.5" customHeight="1">
      <c r="A346" s="38"/>
      <c r="B346" s="38"/>
      <c r="C346" s="39"/>
      <c r="D346" s="38"/>
      <c r="E346" s="42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41"/>
      <c r="S346" s="38"/>
      <c r="T346" s="38"/>
      <c r="U346" s="38"/>
      <c r="V346" s="39"/>
      <c r="W346" s="38"/>
      <c r="X346" s="42"/>
      <c r="Y346" s="39"/>
      <c r="Z346" s="39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</row>
    <row r="347" ht="16.5" customHeight="1">
      <c r="A347" s="38"/>
      <c r="B347" s="38"/>
      <c r="C347" s="39"/>
      <c r="D347" s="38"/>
      <c r="E347" s="42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41"/>
      <c r="S347" s="38"/>
      <c r="T347" s="38"/>
      <c r="U347" s="38"/>
      <c r="V347" s="39"/>
      <c r="W347" s="38"/>
      <c r="X347" s="42"/>
      <c r="Y347" s="39"/>
      <c r="Z347" s="39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</row>
    <row r="348" ht="16.5" customHeight="1">
      <c r="A348" s="38"/>
      <c r="B348" s="38"/>
      <c r="C348" s="39"/>
      <c r="D348" s="38"/>
      <c r="E348" s="42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41"/>
      <c r="S348" s="38"/>
      <c r="T348" s="38"/>
      <c r="U348" s="38"/>
      <c r="V348" s="39"/>
      <c r="W348" s="38"/>
      <c r="X348" s="42"/>
      <c r="Y348" s="39"/>
      <c r="Z348" s="39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</row>
    <row r="349" ht="16.5" customHeight="1">
      <c r="A349" s="38"/>
      <c r="B349" s="38"/>
      <c r="C349" s="39"/>
      <c r="D349" s="38"/>
      <c r="E349" s="42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41"/>
      <c r="S349" s="38"/>
      <c r="T349" s="38"/>
      <c r="U349" s="38"/>
      <c r="V349" s="39"/>
      <c r="W349" s="38"/>
      <c r="X349" s="42"/>
      <c r="Y349" s="39"/>
      <c r="Z349" s="39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</row>
    <row r="350" ht="16.5" customHeight="1">
      <c r="A350" s="38"/>
      <c r="B350" s="38"/>
      <c r="C350" s="39"/>
      <c r="D350" s="38"/>
      <c r="E350" s="42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41"/>
      <c r="S350" s="38"/>
      <c r="T350" s="38"/>
      <c r="U350" s="38"/>
      <c r="V350" s="39"/>
      <c r="W350" s="38"/>
      <c r="X350" s="42"/>
      <c r="Y350" s="39"/>
      <c r="Z350" s="39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</row>
    <row r="351" ht="16.5" customHeight="1">
      <c r="A351" s="38"/>
      <c r="B351" s="38"/>
      <c r="C351" s="39"/>
      <c r="D351" s="38"/>
      <c r="E351" s="42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41"/>
      <c r="S351" s="38"/>
      <c r="T351" s="38"/>
      <c r="U351" s="38"/>
      <c r="V351" s="39"/>
      <c r="W351" s="38"/>
      <c r="X351" s="42"/>
      <c r="Y351" s="39"/>
      <c r="Z351" s="39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</row>
    <row r="352" ht="16.5" customHeight="1">
      <c r="A352" s="38"/>
      <c r="B352" s="38"/>
      <c r="C352" s="39"/>
      <c r="D352" s="38"/>
      <c r="E352" s="42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41"/>
      <c r="S352" s="38"/>
      <c r="T352" s="38"/>
      <c r="U352" s="38"/>
      <c r="V352" s="39"/>
      <c r="W352" s="38"/>
      <c r="X352" s="42"/>
      <c r="Y352" s="39"/>
      <c r="Z352" s="39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</row>
    <row r="353" ht="16.5" customHeight="1">
      <c r="A353" s="38"/>
      <c r="B353" s="38"/>
      <c r="C353" s="39"/>
      <c r="D353" s="38"/>
      <c r="E353" s="42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41"/>
      <c r="S353" s="38"/>
      <c r="T353" s="38"/>
      <c r="U353" s="38"/>
      <c r="V353" s="39"/>
      <c r="W353" s="38"/>
      <c r="X353" s="42"/>
      <c r="Y353" s="39"/>
      <c r="Z353" s="39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</row>
    <row r="354" ht="16.5" customHeight="1">
      <c r="A354" s="38"/>
      <c r="B354" s="38"/>
      <c r="C354" s="39"/>
      <c r="D354" s="38"/>
      <c r="E354" s="42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41"/>
      <c r="S354" s="38"/>
      <c r="T354" s="38"/>
      <c r="U354" s="38"/>
      <c r="V354" s="39"/>
      <c r="W354" s="38"/>
      <c r="X354" s="42"/>
      <c r="Y354" s="39"/>
      <c r="Z354" s="39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</row>
    <row r="355" ht="16.5" customHeight="1">
      <c r="A355" s="38"/>
      <c r="B355" s="38"/>
      <c r="C355" s="39"/>
      <c r="D355" s="38"/>
      <c r="E355" s="42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41"/>
      <c r="S355" s="38"/>
      <c r="T355" s="38"/>
      <c r="U355" s="38"/>
      <c r="V355" s="39"/>
      <c r="W355" s="38"/>
      <c r="X355" s="42"/>
      <c r="Y355" s="39"/>
      <c r="Z355" s="39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</row>
    <row r="356" ht="16.5" customHeight="1">
      <c r="A356" s="38"/>
      <c r="B356" s="38"/>
      <c r="C356" s="39"/>
      <c r="D356" s="38"/>
      <c r="E356" s="42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41"/>
      <c r="S356" s="38"/>
      <c r="T356" s="38"/>
      <c r="U356" s="38"/>
      <c r="V356" s="39"/>
      <c r="W356" s="38"/>
      <c r="X356" s="42"/>
      <c r="Y356" s="39"/>
      <c r="Z356" s="39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</row>
    <row r="357" ht="16.5" customHeight="1">
      <c r="A357" s="38"/>
      <c r="B357" s="38"/>
      <c r="C357" s="39"/>
      <c r="D357" s="38"/>
      <c r="E357" s="42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41"/>
      <c r="S357" s="38"/>
      <c r="T357" s="38"/>
      <c r="U357" s="38"/>
      <c r="V357" s="39"/>
      <c r="W357" s="38"/>
      <c r="X357" s="42"/>
      <c r="Y357" s="39"/>
      <c r="Z357" s="39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</row>
    <row r="358" ht="16.5" customHeight="1">
      <c r="A358" s="38"/>
      <c r="B358" s="38"/>
      <c r="C358" s="39"/>
      <c r="D358" s="38"/>
      <c r="E358" s="42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41"/>
      <c r="S358" s="38"/>
      <c r="T358" s="38"/>
      <c r="U358" s="38"/>
      <c r="V358" s="39"/>
      <c r="W358" s="38"/>
      <c r="X358" s="42"/>
      <c r="Y358" s="39"/>
      <c r="Z358" s="39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</row>
    <row r="359" ht="16.5" customHeight="1">
      <c r="A359" s="38"/>
      <c r="B359" s="38"/>
      <c r="C359" s="39"/>
      <c r="D359" s="38"/>
      <c r="E359" s="42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41"/>
      <c r="S359" s="38"/>
      <c r="T359" s="38"/>
      <c r="U359" s="38"/>
      <c r="V359" s="39"/>
      <c r="W359" s="38"/>
      <c r="X359" s="42"/>
      <c r="Y359" s="39"/>
      <c r="Z359" s="39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</row>
    <row r="360" ht="16.5" customHeight="1">
      <c r="A360" s="38"/>
      <c r="B360" s="38"/>
      <c r="C360" s="39"/>
      <c r="D360" s="38"/>
      <c r="E360" s="42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41"/>
      <c r="S360" s="38"/>
      <c r="T360" s="38"/>
      <c r="U360" s="38"/>
      <c r="V360" s="39"/>
      <c r="W360" s="38"/>
      <c r="X360" s="42"/>
      <c r="Y360" s="39"/>
      <c r="Z360" s="39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</row>
    <row r="361" ht="16.5" customHeight="1">
      <c r="A361" s="38"/>
      <c r="B361" s="38"/>
      <c r="C361" s="39"/>
      <c r="D361" s="38"/>
      <c r="E361" s="42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41"/>
      <c r="S361" s="38"/>
      <c r="T361" s="38"/>
      <c r="U361" s="38"/>
      <c r="V361" s="39"/>
      <c r="W361" s="38"/>
      <c r="X361" s="42"/>
      <c r="Y361" s="39"/>
      <c r="Z361" s="39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</row>
    <row r="362" ht="16.5" customHeight="1">
      <c r="A362" s="38"/>
      <c r="B362" s="38"/>
      <c r="C362" s="39"/>
      <c r="D362" s="38"/>
      <c r="E362" s="42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41"/>
      <c r="S362" s="38"/>
      <c r="T362" s="38"/>
      <c r="U362" s="38"/>
      <c r="V362" s="39"/>
      <c r="W362" s="38"/>
      <c r="X362" s="42"/>
      <c r="Y362" s="39"/>
      <c r="Z362" s="39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</row>
    <row r="363" ht="16.5" customHeight="1">
      <c r="A363" s="38"/>
      <c r="B363" s="38"/>
      <c r="C363" s="39"/>
      <c r="D363" s="38"/>
      <c r="E363" s="42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41"/>
      <c r="S363" s="38"/>
      <c r="T363" s="38"/>
      <c r="U363" s="38"/>
      <c r="V363" s="39"/>
      <c r="W363" s="38"/>
      <c r="X363" s="42"/>
      <c r="Y363" s="39"/>
      <c r="Z363" s="39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</row>
    <row r="364" ht="16.5" customHeight="1">
      <c r="A364" s="38"/>
      <c r="B364" s="38"/>
      <c r="C364" s="39"/>
      <c r="D364" s="38"/>
      <c r="E364" s="42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41"/>
      <c r="S364" s="38"/>
      <c r="T364" s="38"/>
      <c r="U364" s="38"/>
      <c r="V364" s="39"/>
      <c r="W364" s="38"/>
      <c r="X364" s="42"/>
      <c r="Y364" s="39"/>
      <c r="Z364" s="39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</row>
    <row r="365" ht="16.5" customHeight="1">
      <c r="A365" s="38"/>
      <c r="B365" s="38"/>
      <c r="C365" s="39"/>
      <c r="D365" s="38"/>
      <c r="E365" s="42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41"/>
      <c r="S365" s="38"/>
      <c r="T365" s="38"/>
      <c r="U365" s="38"/>
      <c r="V365" s="39"/>
      <c r="W365" s="38"/>
      <c r="X365" s="42"/>
      <c r="Y365" s="39"/>
      <c r="Z365" s="39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</row>
    <row r="366" ht="16.5" customHeight="1">
      <c r="A366" s="38"/>
      <c r="B366" s="38"/>
      <c r="C366" s="39"/>
      <c r="D366" s="38"/>
      <c r="E366" s="42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41"/>
      <c r="S366" s="38"/>
      <c r="T366" s="38"/>
      <c r="U366" s="38"/>
      <c r="V366" s="39"/>
      <c r="W366" s="38"/>
      <c r="X366" s="42"/>
      <c r="Y366" s="39"/>
      <c r="Z366" s="39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</row>
    <row r="367" ht="16.5" customHeight="1">
      <c r="A367" s="38"/>
      <c r="B367" s="38"/>
      <c r="C367" s="39"/>
      <c r="D367" s="38"/>
      <c r="E367" s="42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41"/>
      <c r="S367" s="38"/>
      <c r="T367" s="38"/>
      <c r="U367" s="38"/>
      <c r="V367" s="39"/>
      <c r="W367" s="38"/>
      <c r="X367" s="42"/>
      <c r="Y367" s="39"/>
      <c r="Z367" s="39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</row>
    <row r="368" ht="16.5" customHeight="1">
      <c r="A368" s="38"/>
      <c r="B368" s="38"/>
      <c r="C368" s="39"/>
      <c r="D368" s="38"/>
      <c r="E368" s="42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41"/>
      <c r="S368" s="38"/>
      <c r="T368" s="38"/>
      <c r="U368" s="38"/>
      <c r="V368" s="39"/>
      <c r="W368" s="38"/>
      <c r="X368" s="42"/>
      <c r="Y368" s="39"/>
      <c r="Z368" s="39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</row>
    <row r="369" ht="16.5" customHeight="1">
      <c r="A369" s="38"/>
      <c r="B369" s="38"/>
      <c r="C369" s="39"/>
      <c r="D369" s="38"/>
      <c r="E369" s="42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41"/>
      <c r="S369" s="38"/>
      <c r="T369" s="38"/>
      <c r="U369" s="38"/>
      <c r="V369" s="39"/>
      <c r="W369" s="38"/>
      <c r="X369" s="42"/>
      <c r="Y369" s="39"/>
      <c r="Z369" s="39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</row>
    <row r="370" ht="16.5" customHeight="1">
      <c r="A370" s="38"/>
      <c r="B370" s="38"/>
      <c r="C370" s="39"/>
      <c r="D370" s="38"/>
      <c r="E370" s="42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41"/>
      <c r="S370" s="38"/>
      <c r="T370" s="38"/>
      <c r="U370" s="38"/>
      <c r="V370" s="39"/>
      <c r="W370" s="38"/>
      <c r="X370" s="42"/>
      <c r="Y370" s="39"/>
      <c r="Z370" s="39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</row>
    <row r="371" ht="16.5" customHeight="1">
      <c r="A371" s="38"/>
      <c r="B371" s="38"/>
      <c r="C371" s="39"/>
      <c r="D371" s="38"/>
      <c r="E371" s="42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41"/>
      <c r="S371" s="38"/>
      <c r="T371" s="38"/>
      <c r="U371" s="38"/>
      <c r="V371" s="39"/>
      <c r="W371" s="38"/>
      <c r="X371" s="42"/>
      <c r="Y371" s="39"/>
      <c r="Z371" s="39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</row>
    <row r="372" ht="16.5" customHeight="1">
      <c r="A372" s="38"/>
      <c r="B372" s="38"/>
      <c r="C372" s="39"/>
      <c r="D372" s="38"/>
      <c r="E372" s="42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41"/>
      <c r="S372" s="38"/>
      <c r="T372" s="38"/>
      <c r="U372" s="38"/>
      <c r="V372" s="39"/>
      <c r="W372" s="38"/>
      <c r="X372" s="42"/>
      <c r="Y372" s="39"/>
      <c r="Z372" s="39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</row>
    <row r="373" ht="16.5" customHeight="1">
      <c r="A373" s="38"/>
      <c r="B373" s="38"/>
      <c r="C373" s="39"/>
      <c r="D373" s="38"/>
      <c r="E373" s="42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41"/>
      <c r="S373" s="38"/>
      <c r="T373" s="38"/>
      <c r="U373" s="38"/>
      <c r="V373" s="39"/>
      <c r="W373" s="38"/>
      <c r="X373" s="42"/>
      <c r="Y373" s="39"/>
      <c r="Z373" s="39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</row>
    <row r="374" ht="16.5" customHeight="1">
      <c r="A374" s="38"/>
      <c r="B374" s="38"/>
      <c r="C374" s="39"/>
      <c r="D374" s="38"/>
      <c r="E374" s="42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41"/>
      <c r="S374" s="38"/>
      <c r="T374" s="38"/>
      <c r="U374" s="38"/>
      <c r="V374" s="39"/>
      <c r="W374" s="38"/>
      <c r="X374" s="42"/>
      <c r="Y374" s="39"/>
      <c r="Z374" s="39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</row>
    <row r="375" ht="16.5" customHeight="1">
      <c r="A375" s="38"/>
      <c r="B375" s="38"/>
      <c r="C375" s="39"/>
      <c r="D375" s="38"/>
      <c r="E375" s="42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41"/>
      <c r="S375" s="38"/>
      <c r="T375" s="38"/>
      <c r="U375" s="38"/>
      <c r="V375" s="39"/>
      <c r="W375" s="38"/>
      <c r="X375" s="42"/>
      <c r="Y375" s="39"/>
      <c r="Z375" s="39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</row>
    <row r="376" ht="16.5" customHeight="1">
      <c r="A376" s="38"/>
      <c r="B376" s="38"/>
      <c r="C376" s="39"/>
      <c r="D376" s="38"/>
      <c r="E376" s="42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41"/>
      <c r="S376" s="38"/>
      <c r="T376" s="38"/>
      <c r="U376" s="38"/>
      <c r="V376" s="39"/>
      <c r="W376" s="38"/>
      <c r="X376" s="42"/>
      <c r="Y376" s="39"/>
      <c r="Z376" s="39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</row>
    <row r="377" ht="16.5" customHeight="1">
      <c r="A377" s="38"/>
      <c r="B377" s="38"/>
      <c r="C377" s="39"/>
      <c r="D377" s="38"/>
      <c r="E377" s="42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41"/>
      <c r="S377" s="38"/>
      <c r="T377" s="38"/>
      <c r="U377" s="38"/>
      <c r="V377" s="39"/>
      <c r="W377" s="38"/>
      <c r="X377" s="42"/>
      <c r="Y377" s="39"/>
      <c r="Z377" s="39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</row>
    <row r="378" ht="16.5" customHeight="1">
      <c r="A378" s="38"/>
      <c r="B378" s="38"/>
      <c r="C378" s="39"/>
      <c r="D378" s="38"/>
      <c r="E378" s="42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41"/>
      <c r="S378" s="38"/>
      <c r="T378" s="38"/>
      <c r="U378" s="38"/>
      <c r="V378" s="39"/>
      <c r="W378" s="38"/>
      <c r="X378" s="42"/>
      <c r="Y378" s="39"/>
      <c r="Z378" s="39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</row>
    <row r="379" ht="16.5" customHeight="1">
      <c r="A379" s="38"/>
      <c r="B379" s="38"/>
      <c r="C379" s="39"/>
      <c r="D379" s="38"/>
      <c r="E379" s="42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41"/>
      <c r="S379" s="38"/>
      <c r="T379" s="38"/>
      <c r="U379" s="38"/>
      <c r="V379" s="39"/>
      <c r="W379" s="38"/>
      <c r="X379" s="42"/>
      <c r="Y379" s="39"/>
      <c r="Z379" s="39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</row>
    <row r="380" ht="16.5" customHeight="1">
      <c r="A380" s="38"/>
      <c r="B380" s="38"/>
      <c r="C380" s="39"/>
      <c r="D380" s="38"/>
      <c r="E380" s="42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41"/>
      <c r="S380" s="38"/>
      <c r="T380" s="38"/>
      <c r="U380" s="38"/>
      <c r="V380" s="39"/>
      <c r="W380" s="38"/>
      <c r="X380" s="42"/>
      <c r="Y380" s="39"/>
      <c r="Z380" s="39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</row>
    <row r="381" ht="16.5" customHeight="1">
      <c r="A381" s="38"/>
      <c r="B381" s="38"/>
      <c r="C381" s="39"/>
      <c r="D381" s="38"/>
      <c r="E381" s="42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41"/>
      <c r="S381" s="38"/>
      <c r="T381" s="38"/>
      <c r="U381" s="38"/>
      <c r="V381" s="39"/>
      <c r="W381" s="38"/>
      <c r="X381" s="42"/>
      <c r="Y381" s="39"/>
      <c r="Z381" s="39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</row>
    <row r="382" ht="16.5" customHeight="1">
      <c r="A382" s="38"/>
      <c r="B382" s="38"/>
      <c r="C382" s="39"/>
      <c r="D382" s="38"/>
      <c r="E382" s="42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41"/>
      <c r="S382" s="38"/>
      <c r="T382" s="38"/>
      <c r="U382" s="38"/>
      <c r="V382" s="39"/>
      <c r="W382" s="38"/>
      <c r="X382" s="42"/>
      <c r="Y382" s="39"/>
      <c r="Z382" s="39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</row>
    <row r="383" ht="16.5" customHeight="1">
      <c r="A383" s="38"/>
      <c r="B383" s="38"/>
      <c r="C383" s="39"/>
      <c r="D383" s="38"/>
      <c r="E383" s="42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41"/>
      <c r="S383" s="38"/>
      <c r="T383" s="38"/>
      <c r="U383" s="38"/>
      <c r="V383" s="39"/>
      <c r="W383" s="38"/>
      <c r="X383" s="42"/>
      <c r="Y383" s="39"/>
      <c r="Z383" s="39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</row>
    <row r="384" ht="16.5" customHeight="1">
      <c r="A384" s="38"/>
      <c r="B384" s="38"/>
      <c r="C384" s="39"/>
      <c r="D384" s="38"/>
      <c r="E384" s="42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41"/>
      <c r="S384" s="38"/>
      <c r="T384" s="38"/>
      <c r="U384" s="38"/>
      <c r="V384" s="39"/>
      <c r="W384" s="38"/>
      <c r="X384" s="42"/>
      <c r="Y384" s="39"/>
      <c r="Z384" s="39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</row>
    <row r="385" ht="16.5" customHeight="1">
      <c r="A385" s="38"/>
      <c r="B385" s="38"/>
      <c r="C385" s="39"/>
      <c r="D385" s="38"/>
      <c r="E385" s="42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41"/>
      <c r="S385" s="38"/>
      <c r="T385" s="38"/>
      <c r="U385" s="38"/>
      <c r="V385" s="39"/>
      <c r="W385" s="38"/>
      <c r="X385" s="42"/>
      <c r="Y385" s="39"/>
      <c r="Z385" s="39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</row>
    <row r="386" ht="16.5" customHeight="1">
      <c r="A386" s="38"/>
      <c r="B386" s="38"/>
      <c r="C386" s="39"/>
      <c r="D386" s="38"/>
      <c r="E386" s="42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41"/>
      <c r="S386" s="38"/>
      <c r="T386" s="38"/>
      <c r="U386" s="38"/>
      <c r="V386" s="39"/>
      <c r="W386" s="38"/>
      <c r="X386" s="42"/>
      <c r="Y386" s="39"/>
      <c r="Z386" s="39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</row>
    <row r="387" ht="16.5" customHeight="1">
      <c r="A387" s="38"/>
      <c r="B387" s="38"/>
      <c r="C387" s="39"/>
      <c r="D387" s="38"/>
      <c r="E387" s="42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41"/>
      <c r="S387" s="38"/>
      <c r="T387" s="38"/>
      <c r="U387" s="38"/>
      <c r="V387" s="39"/>
      <c r="W387" s="38"/>
      <c r="X387" s="42"/>
      <c r="Y387" s="39"/>
      <c r="Z387" s="39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</row>
    <row r="388" ht="16.5" customHeight="1">
      <c r="A388" s="38"/>
      <c r="B388" s="38"/>
      <c r="C388" s="39"/>
      <c r="D388" s="38"/>
      <c r="E388" s="42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41"/>
      <c r="S388" s="38"/>
      <c r="T388" s="38"/>
      <c r="U388" s="38"/>
      <c r="V388" s="39"/>
      <c r="W388" s="38"/>
      <c r="X388" s="42"/>
      <c r="Y388" s="39"/>
      <c r="Z388" s="39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</row>
    <row r="389" ht="16.5" customHeight="1">
      <c r="A389" s="38"/>
      <c r="B389" s="38"/>
      <c r="C389" s="39"/>
      <c r="D389" s="38"/>
      <c r="E389" s="42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41"/>
      <c r="S389" s="38"/>
      <c r="T389" s="38"/>
      <c r="U389" s="38"/>
      <c r="V389" s="39"/>
      <c r="W389" s="38"/>
      <c r="X389" s="42"/>
      <c r="Y389" s="39"/>
      <c r="Z389" s="39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</row>
    <row r="390" ht="16.5" customHeight="1">
      <c r="A390" s="38"/>
      <c r="B390" s="38"/>
      <c r="C390" s="39"/>
      <c r="D390" s="38"/>
      <c r="E390" s="42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41"/>
      <c r="S390" s="38"/>
      <c r="T390" s="38"/>
      <c r="U390" s="38"/>
      <c r="V390" s="39"/>
      <c r="W390" s="38"/>
      <c r="X390" s="42"/>
      <c r="Y390" s="39"/>
      <c r="Z390" s="39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</row>
    <row r="391" ht="16.5" customHeight="1">
      <c r="A391" s="38"/>
      <c r="B391" s="38"/>
      <c r="C391" s="39"/>
      <c r="D391" s="38"/>
      <c r="E391" s="42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41"/>
      <c r="S391" s="38"/>
      <c r="T391" s="38"/>
      <c r="U391" s="38"/>
      <c r="V391" s="39"/>
      <c r="W391" s="38"/>
      <c r="X391" s="42"/>
      <c r="Y391" s="39"/>
      <c r="Z391" s="39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</row>
    <row r="392" ht="16.5" customHeight="1">
      <c r="A392" s="38"/>
      <c r="B392" s="38"/>
      <c r="C392" s="39"/>
      <c r="D392" s="38"/>
      <c r="E392" s="42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41"/>
      <c r="S392" s="38"/>
      <c r="T392" s="38"/>
      <c r="U392" s="38"/>
      <c r="V392" s="39"/>
      <c r="W392" s="38"/>
      <c r="X392" s="42"/>
      <c r="Y392" s="39"/>
      <c r="Z392" s="39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</row>
    <row r="393" ht="16.5" customHeight="1">
      <c r="A393" s="38"/>
      <c r="B393" s="38"/>
      <c r="C393" s="39"/>
      <c r="D393" s="38"/>
      <c r="E393" s="42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41"/>
      <c r="S393" s="38"/>
      <c r="T393" s="38"/>
      <c r="U393" s="38"/>
      <c r="V393" s="39"/>
      <c r="W393" s="38"/>
      <c r="X393" s="42"/>
      <c r="Y393" s="39"/>
      <c r="Z393" s="39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</row>
    <row r="394" ht="16.5" customHeight="1">
      <c r="A394" s="38"/>
      <c r="B394" s="38"/>
      <c r="C394" s="39"/>
      <c r="D394" s="38"/>
      <c r="E394" s="42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41"/>
      <c r="S394" s="38"/>
      <c r="T394" s="38"/>
      <c r="U394" s="38"/>
      <c r="V394" s="39"/>
      <c r="W394" s="38"/>
      <c r="X394" s="42"/>
      <c r="Y394" s="39"/>
      <c r="Z394" s="39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</row>
    <row r="395" ht="16.5" customHeight="1">
      <c r="A395" s="38"/>
      <c r="B395" s="38"/>
      <c r="C395" s="39"/>
      <c r="D395" s="38"/>
      <c r="E395" s="42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41"/>
      <c r="S395" s="38"/>
      <c r="T395" s="38"/>
      <c r="U395" s="38"/>
      <c r="V395" s="39"/>
      <c r="W395" s="38"/>
      <c r="X395" s="42"/>
      <c r="Y395" s="39"/>
      <c r="Z395" s="39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</row>
    <row r="396" ht="16.5" customHeight="1">
      <c r="A396" s="38"/>
      <c r="B396" s="38"/>
      <c r="C396" s="39"/>
      <c r="D396" s="38"/>
      <c r="E396" s="42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41"/>
      <c r="S396" s="38"/>
      <c r="T396" s="38"/>
      <c r="U396" s="38"/>
      <c r="V396" s="39"/>
      <c r="W396" s="38"/>
      <c r="X396" s="42"/>
      <c r="Y396" s="39"/>
      <c r="Z396" s="39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</row>
    <row r="397" ht="16.5" customHeight="1">
      <c r="A397" s="38"/>
      <c r="B397" s="38"/>
      <c r="C397" s="39"/>
      <c r="D397" s="38"/>
      <c r="E397" s="42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41"/>
      <c r="S397" s="38"/>
      <c r="T397" s="38"/>
      <c r="U397" s="38"/>
      <c r="V397" s="39"/>
      <c r="W397" s="38"/>
      <c r="X397" s="42"/>
      <c r="Y397" s="39"/>
      <c r="Z397" s="39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</row>
    <row r="398" ht="16.5" customHeight="1">
      <c r="A398" s="38"/>
      <c r="B398" s="38"/>
      <c r="C398" s="39"/>
      <c r="D398" s="38"/>
      <c r="E398" s="42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41"/>
      <c r="S398" s="38"/>
      <c r="T398" s="38"/>
      <c r="U398" s="38"/>
      <c r="V398" s="39"/>
      <c r="W398" s="38"/>
      <c r="X398" s="42"/>
      <c r="Y398" s="39"/>
      <c r="Z398" s="39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</row>
    <row r="399" ht="16.5" customHeight="1">
      <c r="A399" s="38"/>
      <c r="B399" s="38"/>
      <c r="C399" s="39"/>
      <c r="D399" s="38"/>
      <c r="E399" s="42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41"/>
      <c r="S399" s="38"/>
      <c r="T399" s="38"/>
      <c r="U399" s="38"/>
      <c r="V399" s="39"/>
      <c r="W399" s="38"/>
      <c r="X399" s="42"/>
      <c r="Y399" s="39"/>
      <c r="Z399" s="39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</row>
    <row r="400" ht="16.5" customHeight="1">
      <c r="A400" s="38"/>
      <c r="B400" s="38"/>
      <c r="C400" s="39"/>
      <c r="D400" s="38"/>
      <c r="E400" s="42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41"/>
      <c r="S400" s="38"/>
      <c r="T400" s="38"/>
      <c r="U400" s="38"/>
      <c r="V400" s="39"/>
      <c r="W400" s="38"/>
      <c r="X400" s="42"/>
      <c r="Y400" s="39"/>
      <c r="Z400" s="39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</row>
    <row r="401" ht="16.5" customHeight="1">
      <c r="A401" s="38"/>
      <c r="B401" s="38"/>
      <c r="C401" s="39"/>
      <c r="D401" s="38"/>
      <c r="E401" s="42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41"/>
      <c r="S401" s="38"/>
      <c r="T401" s="38"/>
      <c r="U401" s="38"/>
      <c r="V401" s="39"/>
      <c r="W401" s="38"/>
      <c r="X401" s="42"/>
      <c r="Y401" s="39"/>
      <c r="Z401" s="39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</row>
    <row r="402" ht="16.5" customHeight="1">
      <c r="A402" s="38"/>
      <c r="B402" s="38"/>
      <c r="C402" s="39"/>
      <c r="D402" s="38"/>
      <c r="E402" s="42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41"/>
      <c r="S402" s="38"/>
      <c r="T402" s="38"/>
      <c r="U402" s="38"/>
      <c r="V402" s="39"/>
      <c r="W402" s="38"/>
      <c r="X402" s="42"/>
      <c r="Y402" s="39"/>
      <c r="Z402" s="39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</row>
    <row r="403" ht="16.5" customHeight="1">
      <c r="A403" s="38"/>
      <c r="B403" s="38"/>
      <c r="C403" s="39"/>
      <c r="D403" s="38"/>
      <c r="E403" s="42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41"/>
      <c r="S403" s="38"/>
      <c r="T403" s="38"/>
      <c r="U403" s="38"/>
      <c r="V403" s="39"/>
      <c r="W403" s="38"/>
      <c r="X403" s="42"/>
      <c r="Y403" s="39"/>
      <c r="Z403" s="39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</row>
    <row r="404" ht="16.5" customHeight="1">
      <c r="A404" s="38"/>
      <c r="B404" s="38"/>
      <c r="C404" s="39"/>
      <c r="D404" s="38"/>
      <c r="E404" s="42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41"/>
      <c r="S404" s="38"/>
      <c r="T404" s="38"/>
      <c r="U404" s="38"/>
      <c r="V404" s="39"/>
      <c r="W404" s="38"/>
      <c r="X404" s="42"/>
      <c r="Y404" s="39"/>
      <c r="Z404" s="39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</row>
    <row r="405" ht="16.5" customHeight="1">
      <c r="A405" s="38"/>
      <c r="B405" s="38"/>
      <c r="C405" s="39"/>
      <c r="D405" s="38"/>
      <c r="E405" s="42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41"/>
      <c r="S405" s="38"/>
      <c r="T405" s="38"/>
      <c r="U405" s="38"/>
      <c r="V405" s="39"/>
      <c r="W405" s="38"/>
      <c r="X405" s="42"/>
      <c r="Y405" s="39"/>
      <c r="Z405" s="39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</row>
    <row r="406" ht="16.5" customHeight="1">
      <c r="A406" s="38"/>
      <c r="B406" s="38"/>
      <c r="C406" s="39"/>
      <c r="D406" s="38"/>
      <c r="E406" s="42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41"/>
      <c r="S406" s="38"/>
      <c r="T406" s="38"/>
      <c r="U406" s="38"/>
      <c r="V406" s="39"/>
      <c r="W406" s="38"/>
      <c r="X406" s="42"/>
      <c r="Y406" s="39"/>
      <c r="Z406" s="39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</row>
    <row r="407" ht="16.5" customHeight="1">
      <c r="A407" s="38"/>
      <c r="B407" s="38"/>
      <c r="C407" s="39"/>
      <c r="D407" s="38"/>
      <c r="E407" s="42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41"/>
      <c r="S407" s="38"/>
      <c r="T407" s="38"/>
      <c r="U407" s="38"/>
      <c r="V407" s="39"/>
      <c r="W407" s="38"/>
      <c r="X407" s="42"/>
      <c r="Y407" s="39"/>
      <c r="Z407" s="39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</row>
    <row r="408" ht="16.5" customHeight="1">
      <c r="A408" s="38"/>
      <c r="B408" s="38"/>
      <c r="C408" s="39"/>
      <c r="D408" s="38"/>
      <c r="E408" s="42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41"/>
      <c r="S408" s="38"/>
      <c r="T408" s="38"/>
      <c r="U408" s="38"/>
      <c r="V408" s="39"/>
      <c r="W408" s="38"/>
      <c r="X408" s="42"/>
      <c r="Y408" s="39"/>
      <c r="Z408" s="39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</row>
    <row r="409" ht="16.5" customHeight="1">
      <c r="A409" s="38"/>
      <c r="B409" s="38"/>
      <c r="C409" s="39"/>
      <c r="D409" s="38"/>
      <c r="E409" s="42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41"/>
      <c r="S409" s="38"/>
      <c r="T409" s="38"/>
      <c r="U409" s="38"/>
      <c r="V409" s="39"/>
      <c r="W409" s="38"/>
      <c r="X409" s="42"/>
      <c r="Y409" s="39"/>
      <c r="Z409" s="39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</row>
    <row r="410" ht="16.5" customHeight="1">
      <c r="A410" s="38"/>
      <c r="B410" s="38"/>
      <c r="C410" s="39"/>
      <c r="D410" s="38"/>
      <c r="E410" s="42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41"/>
      <c r="S410" s="38"/>
      <c r="T410" s="38"/>
      <c r="U410" s="38"/>
      <c r="V410" s="39"/>
      <c r="W410" s="38"/>
      <c r="X410" s="42"/>
      <c r="Y410" s="39"/>
      <c r="Z410" s="39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</row>
    <row r="411" ht="16.5" customHeight="1">
      <c r="A411" s="38"/>
      <c r="B411" s="38"/>
      <c r="C411" s="39"/>
      <c r="D411" s="38"/>
      <c r="E411" s="42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41"/>
      <c r="S411" s="38"/>
      <c r="T411" s="38"/>
      <c r="U411" s="38"/>
      <c r="V411" s="39"/>
      <c r="W411" s="38"/>
      <c r="X411" s="42"/>
      <c r="Y411" s="39"/>
      <c r="Z411" s="39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</row>
    <row r="412" ht="16.5" customHeight="1">
      <c r="A412" s="38"/>
      <c r="B412" s="38"/>
      <c r="C412" s="39"/>
      <c r="D412" s="38"/>
      <c r="E412" s="42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41"/>
      <c r="S412" s="38"/>
      <c r="T412" s="38"/>
      <c r="U412" s="38"/>
      <c r="V412" s="39"/>
      <c r="W412" s="38"/>
      <c r="X412" s="42"/>
      <c r="Y412" s="39"/>
      <c r="Z412" s="39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</row>
    <row r="413" ht="16.5" customHeight="1">
      <c r="A413" s="38"/>
      <c r="B413" s="38"/>
      <c r="C413" s="39"/>
      <c r="D413" s="38"/>
      <c r="E413" s="42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41"/>
      <c r="S413" s="38"/>
      <c r="T413" s="38"/>
      <c r="U413" s="38"/>
      <c r="V413" s="39"/>
      <c r="W413" s="38"/>
      <c r="X413" s="42"/>
      <c r="Y413" s="39"/>
      <c r="Z413" s="39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</row>
    <row r="414" ht="16.5" customHeight="1">
      <c r="A414" s="38"/>
      <c r="B414" s="38"/>
      <c r="C414" s="39"/>
      <c r="D414" s="38"/>
      <c r="E414" s="42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41"/>
      <c r="S414" s="38"/>
      <c r="T414" s="38"/>
      <c r="U414" s="38"/>
      <c r="V414" s="39"/>
      <c r="W414" s="38"/>
      <c r="X414" s="42"/>
      <c r="Y414" s="39"/>
      <c r="Z414" s="39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</row>
    <row r="415" ht="16.5" customHeight="1">
      <c r="A415" s="38"/>
      <c r="B415" s="38"/>
      <c r="C415" s="39"/>
      <c r="D415" s="38"/>
      <c r="E415" s="42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41"/>
      <c r="S415" s="38"/>
      <c r="T415" s="38"/>
      <c r="U415" s="38"/>
      <c r="V415" s="39"/>
      <c r="W415" s="38"/>
      <c r="X415" s="42"/>
      <c r="Y415" s="39"/>
      <c r="Z415" s="39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</row>
    <row r="416" ht="16.5" customHeight="1">
      <c r="A416" s="38"/>
      <c r="B416" s="38"/>
      <c r="C416" s="39"/>
      <c r="D416" s="38"/>
      <c r="E416" s="42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41"/>
      <c r="S416" s="38"/>
      <c r="T416" s="38"/>
      <c r="U416" s="38"/>
      <c r="V416" s="39"/>
      <c r="W416" s="38"/>
      <c r="X416" s="42"/>
      <c r="Y416" s="39"/>
      <c r="Z416" s="39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</row>
    <row r="417" ht="16.5" customHeight="1">
      <c r="A417" s="38"/>
      <c r="B417" s="38"/>
      <c r="C417" s="39"/>
      <c r="D417" s="38"/>
      <c r="E417" s="42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41"/>
      <c r="S417" s="38"/>
      <c r="T417" s="38"/>
      <c r="U417" s="38"/>
      <c r="V417" s="39"/>
      <c r="W417" s="38"/>
      <c r="X417" s="42"/>
      <c r="Y417" s="39"/>
      <c r="Z417" s="39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</row>
    <row r="418" ht="16.5" customHeight="1">
      <c r="A418" s="38"/>
      <c r="B418" s="38"/>
      <c r="C418" s="39"/>
      <c r="D418" s="38"/>
      <c r="E418" s="42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41"/>
      <c r="S418" s="38"/>
      <c r="T418" s="38"/>
      <c r="U418" s="38"/>
      <c r="V418" s="39"/>
      <c r="W418" s="38"/>
      <c r="X418" s="42"/>
      <c r="Y418" s="39"/>
      <c r="Z418" s="39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</row>
    <row r="419" ht="16.5" customHeight="1">
      <c r="A419" s="38"/>
      <c r="B419" s="38"/>
      <c r="C419" s="39"/>
      <c r="D419" s="38"/>
      <c r="E419" s="42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41"/>
      <c r="S419" s="38"/>
      <c r="T419" s="38"/>
      <c r="U419" s="38"/>
      <c r="V419" s="39"/>
      <c r="W419" s="38"/>
      <c r="X419" s="42"/>
      <c r="Y419" s="39"/>
      <c r="Z419" s="39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</row>
    <row r="420" ht="16.5" customHeight="1">
      <c r="A420" s="38"/>
      <c r="B420" s="38"/>
      <c r="C420" s="39"/>
      <c r="D420" s="38"/>
      <c r="E420" s="42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41"/>
      <c r="S420" s="38"/>
      <c r="T420" s="38"/>
      <c r="U420" s="38"/>
      <c r="V420" s="39"/>
      <c r="W420" s="38"/>
      <c r="X420" s="42"/>
      <c r="Y420" s="39"/>
      <c r="Z420" s="39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</row>
    <row r="421" ht="16.5" customHeight="1">
      <c r="A421" s="38"/>
      <c r="B421" s="38"/>
      <c r="C421" s="39"/>
      <c r="D421" s="38"/>
      <c r="E421" s="42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41"/>
      <c r="S421" s="38"/>
      <c r="T421" s="38"/>
      <c r="U421" s="38"/>
      <c r="V421" s="39"/>
      <c r="W421" s="38"/>
      <c r="X421" s="42"/>
      <c r="Y421" s="39"/>
      <c r="Z421" s="39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</row>
    <row r="422" ht="16.5" customHeight="1">
      <c r="A422" s="38"/>
      <c r="B422" s="38"/>
      <c r="C422" s="39"/>
      <c r="D422" s="38"/>
      <c r="E422" s="42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41"/>
      <c r="S422" s="38"/>
      <c r="T422" s="38"/>
      <c r="U422" s="38"/>
      <c r="V422" s="39"/>
      <c r="W422" s="38"/>
      <c r="X422" s="42"/>
      <c r="Y422" s="39"/>
      <c r="Z422" s="39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</row>
    <row r="423" ht="16.5" customHeight="1">
      <c r="A423" s="38"/>
      <c r="B423" s="38"/>
      <c r="C423" s="39"/>
      <c r="D423" s="38"/>
      <c r="E423" s="42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41"/>
      <c r="S423" s="38"/>
      <c r="T423" s="38"/>
      <c r="U423" s="38"/>
      <c r="V423" s="39"/>
      <c r="W423" s="38"/>
      <c r="X423" s="42"/>
      <c r="Y423" s="39"/>
      <c r="Z423" s="39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</row>
    <row r="424" ht="16.5" customHeight="1">
      <c r="A424" s="38"/>
      <c r="B424" s="38"/>
      <c r="C424" s="39"/>
      <c r="D424" s="38"/>
      <c r="E424" s="42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41"/>
      <c r="S424" s="38"/>
      <c r="T424" s="38"/>
      <c r="U424" s="38"/>
      <c r="V424" s="39"/>
      <c r="W424" s="38"/>
      <c r="X424" s="42"/>
      <c r="Y424" s="39"/>
      <c r="Z424" s="39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</row>
    <row r="425" ht="16.5" customHeight="1">
      <c r="A425" s="38"/>
      <c r="B425" s="38"/>
      <c r="C425" s="39"/>
      <c r="D425" s="38"/>
      <c r="E425" s="42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41"/>
      <c r="S425" s="38"/>
      <c r="T425" s="38"/>
      <c r="U425" s="38"/>
      <c r="V425" s="39"/>
      <c r="W425" s="38"/>
      <c r="X425" s="42"/>
      <c r="Y425" s="39"/>
      <c r="Z425" s="39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</row>
    <row r="426" ht="16.5" customHeight="1">
      <c r="A426" s="38"/>
      <c r="B426" s="38"/>
      <c r="C426" s="39"/>
      <c r="D426" s="38"/>
      <c r="E426" s="42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41"/>
      <c r="S426" s="38"/>
      <c r="T426" s="38"/>
      <c r="U426" s="38"/>
      <c r="V426" s="39"/>
      <c r="W426" s="38"/>
      <c r="X426" s="42"/>
      <c r="Y426" s="39"/>
      <c r="Z426" s="39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</row>
    <row r="427" ht="16.5" customHeight="1">
      <c r="A427" s="38"/>
      <c r="B427" s="38"/>
      <c r="C427" s="39"/>
      <c r="D427" s="38"/>
      <c r="E427" s="42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41"/>
      <c r="S427" s="38"/>
      <c r="T427" s="38"/>
      <c r="U427" s="38"/>
      <c r="V427" s="39"/>
      <c r="W427" s="38"/>
      <c r="X427" s="42"/>
      <c r="Y427" s="39"/>
      <c r="Z427" s="39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</row>
    <row r="428" ht="16.5" customHeight="1">
      <c r="A428" s="38"/>
      <c r="B428" s="38"/>
      <c r="C428" s="39"/>
      <c r="D428" s="38"/>
      <c r="E428" s="42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41"/>
      <c r="S428" s="38"/>
      <c r="T428" s="38"/>
      <c r="U428" s="38"/>
      <c r="V428" s="39"/>
      <c r="W428" s="38"/>
      <c r="X428" s="42"/>
      <c r="Y428" s="39"/>
      <c r="Z428" s="39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</row>
    <row r="429" ht="16.5" customHeight="1">
      <c r="A429" s="38"/>
      <c r="B429" s="38"/>
      <c r="C429" s="39"/>
      <c r="D429" s="38"/>
      <c r="E429" s="42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41"/>
      <c r="S429" s="38"/>
      <c r="T429" s="38"/>
      <c r="U429" s="38"/>
      <c r="V429" s="39"/>
      <c r="W429" s="38"/>
      <c r="X429" s="42"/>
      <c r="Y429" s="39"/>
      <c r="Z429" s="39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</row>
    <row r="430" ht="16.5" customHeight="1">
      <c r="A430" s="38"/>
      <c r="B430" s="38"/>
      <c r="C430" s="39"/>
      <c r="D430" s="38"/>
      <c r="E430" s="42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41"/>
      <c r="S430" s="38"/>
      <c r="T430" s="38"/>
      <c r="U430" s="38"/>
      <c r="V430" s="39"/>
      <c r="W430" s="38"/>
      <c r="X430" s="42"/>
      <c r="Y430" s="39"/>
      <c r="Z430" s="39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</row>
    <row r="431" ht="16.5" customHeight="1">
      <c r="A431" s="38"/>
      <c r="B431" s="38"/>
      <c r="C431" s="39"/>
      <c r="D431" s="38"/>
      <c r="E431" s="42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41"/>
      <c r="S431" s="38"/>
      <c r="T431" s="38"/>
      <c r="U431" s="38"/>
      <c r="V431" s="39"/>
      <c r="W431" s="38"/>
      <c r="X431" s="42"/>
      <c r="Y431" s="39"/>
      <c r="Z431" s="39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</row>
    <row r="432" ht="16.5" customHeight="1">
      <c r="A432" s="38"/>
      <c r="B432" s="38"/>
      <c r="C432" s="39"/>
      <c r="D432" s="38"/>
      <c r="E432" s="42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41"/>
      <c r="S432" s="38"/>
      <c r="T432" s="38"/>
      <c r="U432" s="38"/>
      <c r="V432" s="39"/>
      <c r="W432" s="38"/>
      <c r="X432" s="42"/>
      <c r="Y432" s="39"/>
      <c r="Z432" s="39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</row>
    <row r="433" ht="16.5" customHeight="1">
      <c r="A433" s="38"/>
      <c r="B433" s="38"/>
      <c r="C433" s="39"/>
      <c r="D433" s="38"/>
      <c r="E433" s="42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41"/>
      <c r="S433" s="38"/>
      <c r="T433" s="38"/>
      <c r="U433" s="38"/>
      <c r="V433" s="39"/>
      <c r="W433" s="38"/>
      <c r="X433" s="42"/>
      <c r="Y433" s="39"/>
      <c r="Z433" s="39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</row>
    <row r="434" ht="16.5" customHeight="1">
      <c r="A434" s="38"/>
      <c r="B434" s="38"/>
      <c r="C434" s="39"/>
      <c r="D434" s="38"/>
      <c r="E434" s="42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41"/>
      <c r="S434" s="38"/>
      <c r="T434" s="38"/>
      <c r="U434" s="38"/>
      <c r="V434" s="39"/>
      <c r="W434" s="38"/>
      <c r="X434" s="42"/>
      <c r="Y434" s="39"/>
      <c r="Z434" s="39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</row>
    <row r="435" ht="16.5" customHeight="1">
      <c r="A435" s="38"/>
      <c r="B435" s="38"/>
      <c r="C435" s="39"/>
      <c r="D435" s="38"/>
      <c r="E435" s="42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41"/>
      <c r="S435" s="38"/>
      <c r="T435" s="38"/>
      <c r="U435" s="38"/>
      <c r="V435" s="39"/>
      <c r="W435" s="38"/>
      <c r="X435" s="42"/>
      <c r="Y435" s="39"/>
      <c r="Z435" s="39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</row>
    <row r="436" ht="16.5" customHeight="1">
      <c r="A436" s="38"/>
      <c r="B436" s="38"/>
      <c r="C436" s="39"/>
      <c r="D436" s="38"/>
      <c r="E436" s="42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41"/>
      <c r="S436" s="38"/>
      <c r="T436" s="38"/>
      <c r="U436" s="38"/>
      <c r="V436" s="39"/>
      <c r="W436" s="38"/>
      <c r="X436" s="42"/>
      <c r="Y436" s="39"/>
      <c r="Z436" s="39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</row>
    <row r="437" ht="16.5" customHeight="1">
      <c r="A437" s="38"/>
      <c r="B437" s="38"/>
      <c r="C437" s="39"/>
      <c r="D437" s="38"/>
      <c r="E437" s="42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41"/>
      <c r="S437" s="38"/>
      <c r="T437" s="38"/>
      <c r="U437" s="38"/>
      <c r="V437" s="39"/>
      <c r="W437" s="38"/>
      <c r="X437" s="42"/>
      <c r="Y437" s="39"/>
      <c r="Z437" s="39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</row>
    <row r="438" ht="16.5" customHeight="1">
      <c r="A438" s="38"/>
      <c r="B438" s="38"/>
      <c r="C438" s="39"/>
      <c r="D438" s="38"/>
      <c r="E438" s="42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41"/>
      <c r="S438" s="38"/>
      <c r="T438" s="38"/>
      <c r="U438" s="38"/>
      <c r="V438" s="39"/>
      <c r="W438" s="38"/>
      <c r="X438" s="42"/>
      <c r="Y438" s="39"/>
      <c r="Z438" s="39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</row>
    <row r="439" ht="16.5" customHeight="1">
      <c r="A439" s="38"/>
      <c r="B439" s="38"/>
      <c r="C439" s="39"/>
      <c r="D439" s="38"/>
      <c r="E439" s="42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41"/>
      <c r="S439" s="38"/>
      <c r="T439" s="38"/>
      <c r="U439" s="38"/>
      <c r="V439" s="39"/>
      <c r="W439" s="38"/>
      <c r="X439" s="42"/>
      <c r="Y439" s="39"/>
      <c r="Z439" s="39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</row>
    <row r="440" ht="16.5" customHeight="1">
      <c r="A440" s="38"/>
      <c r="B440" s="38"/>
      <c r="C440" s="39"/>
      <c r="D440" s="38"/>
      <c r="E440" s="42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41"/>
      <c r="S440" s="38"/>
      <c r="T440" s="38"/>
      <c r="U440" s="38"/>
      <c r="V440" s="39"/>
      <c r="W440" s="38"/>
      <c r="X440" s="42"/>
      <c r="Y440" s="39"/>
      <c r="Z440" s="39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</row>
    <row r="441" ht="16.5" customHeight="1">
      <c r="A441" s="38"/>
      <c r="B441" s="38"/>
      <c r="C441" s="39"/>
      <c r="D441" s="38"/>
      <c r="E441" s="42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41"/>
      <c r="S441" s="38"/>
      <c r="T441" s="38"/>
      <c r="U441" s="38"/>
      <c r="V441" s="39"/>
      <c r="W441" s="38"/>
      <c r="X441" s="42"/>
      <c r="Y441" s="39"/>
      <c r="Z441" s="39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</row>
    <row r="442" ht="16.5" customHeight="1">
      <c r="A442" s="38"/>
      <c r="B442" s="38"/>
      <c r="C442" s="39"/>
      <c r="D442" s="38"/>
      <c r="E442" s="42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41"/>
      <c r="S442" s="38"/>
      <c r="T442" s="38"/>
      <c r="U442" s="38"/>
      <c r="V442" s="39"/>
      <c r="W442" s="38"/>
      <c r="X442" s="42"/>
      <c r="Y442" s="39"/>
      <c r="Z442" s="39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</row>
    <row r="443" ht="16.5" customHeight="1">
      <c r="A443" s="38"/>
      <c r="B443" s="38"/>
      <c r="C443" s="39"/>
      <c r="D443" s="38"/>
      <c r="E443" s="42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41"/>
      <c r="S443" s="38"/>
      <c r="T443" s="38"/>
      <c r="U443" s="38"/>
      <c r="V443" s="39"/>
      <c r="W443" s="38"/>
      <c r="X443" s="42"/>
      <c r="Y443" s="39"/>
      <c r="Z443" s="39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</row>
    <row r="444" ht="16.5" customHeight="1">
      <c r="A444" s="38"/>
      <c r="B444" s="38"/>
      <c r="C444" s="39"/>
      <c r="D444" s="38"/>
      <c r="E444" s="42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41"/>
      <c r="S444" s="38"/>
      <c r="T444" s="38"/>
      <c r="U444" s="38"/>
      <c r="V444" s="39"/>
      <c r="W444" s="38"/>
      <c r="X444" s="42"/>
      <c r="Y444" s="39"/>
      <c r="Z444" s="39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</row>
    <row r="445" ht="16.5" customHeight="1">
      <c r="A445" s="38"/>
      <c r="B445" s="38"/>
      <c r="C445" s="39"/>
      <c r="D445" s="38"/>
      <c r="E445" s="42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41"/>
      <c r="S445" s="38"/>
      <c r="T445" s="38"/>
      <c r="U445" s="38"/>
      <c r="V445" s="39"/>
      <c r="W445" s="38"/>
      <c r="X445" s="42"/>
      <c r="Y445" s="39"/>
      <c r="Z445" s="39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</row>
    <row r="446" ht="16.5" customHeight="1">
      <c r="A446" s="38"/>
      <c r="B446" s="38"/>
      <c r="C446" s="39"/>
      <c r="D446" s="38"/>
      <c r="E446" s="42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41"/>
      <c r="S446" s="38"/>
      <c r="T446" s="38"/>
      <c r="U446" s="38"/>
      <c r="V446" s="39"/>
      <c r="W446" s="38"/>
      <c r="X446" s="42"/>
      <c r="Y446" s="39"/>
      <c r="Z446" s="39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</row>
    <row r="447" ht="16.5" customHeight="1">
      <c r="A447" s="38"/>
      <c r="B447" s="38"/>
      <c r="C447" s="39"/>
      <c r="D447" s="38"/>
      <c r="E447" s="42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41"/>
      <c r="S447" s="38"/>
      <c r="T447" s="38"/>
      <c r="U447" s="38"/>
      <c r="V447" s="39"/>
      <c r="W447" s="38"/>
      <c r="X447" s="42"/>
      <c r="Y447" s="39"/>
      <c r="Z447" s="39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</row>
    <row r="448" ht="16.5" customHeight="1">
      <c r="A448" s="38"/>
      <c r="B448" s="38"/>
      <c r="C448" s="39"/>
      <c r="D448" s="38"/>
      <c r="E448" s="42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41"/>
      <c r="S448" s="38"/>
      <c r="T448" s="38"/>
      <c r="U448" s="38"/>
      <c r="V448" s="39"/>
      <c r="W448" s="38"/>
      <c r="X448" s="42"/>
      <c r="Y448" s="39"/>
      <c r="Z448" s="39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</row>
    <row r="449" ht="16.5" customHeight="1">
      <c r="A449" s="38"/>
      <c r="B449" s="38"/>
      <c r="C449" s="39"/>
      <c r="D449" s="38"/>
      <c r="E449" s="42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41"/>
      <c r="S449" s="38"/>
      <c r="T449" s="38"/>
      <c r="U449" s="38"/>
      <c r="V449" s="39"/>
      <c r="W449" s="38"/>
      <c r="X449" s="42"/>
      <c r="Y449" s="39"/>
      <c r="Z449" s="39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</row>
    <row r="450" ht="16.5" customHeight="1">
      <c r="A450" s="38"/>
      <c r="B450" s="38"/>
      <c r="C450" s="39"/>
      <c r="D450" s="38"/>
      <c r="E450" s="42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41"/>
      <c r="S450" s="38"/>
      <c r="T450" s="38"/>
      <c r="U450" s="38"/>
      <c r="V450" s="39"/>
      <c r="W450" s="38"/>
      <c r="X450" s="42"/>
      <c r="Y450" s="39"/>
      <c r="Z450" s="39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</row>
    <row r="451" ht="16.5" customHeight="1">
      <c r="A451" s="38"/>
      <c r="B451" s="38"/>
      <c r="C451" s="39"/>
      <c r="D451" s="38"/>
      <c r="E451" s="42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41"/>
      <c r="S451" s="38"/>
      <c r="T451" s="38"/>
      <c r="U451" s="38"/>
      <c r="V451" s="39"/>
      <c r="W451" s="38"/>
      <c r="X451" s="42"/>
      <c r="Y451" s="39"/>
      <c r="Z451" s="39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</row>
    <row r="452" ht="16.5" customHeight="1">
      <c r="A452" s="38"/>
      <c r="B452" s="38"/>
      <c r="C452" s="39"/>
      <c r="D452" s="38"/>
      <c r="E452" s="42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41"/>
      <c r="S452" s="38"/>
      <c r="T452" s="38"/>
      <c r="U452" s="38"/>
      <c r="V452" s="39"/>
      <c r="W452" s="38"/>
      <c r="X452" s="42"/>
      <c r="Y452" s="39"/>
      <c r="Z452" s="39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</row>
    <row r="453" ht="16.5" customHeight="1">
      <c r="A453" s="38"/>
      <c r="B453" s="38"/>
      <c r="C453" s="39"/>
      <c r="D453" s="38"/>
      <c r="E453" s="42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41"/>
      <c r="S453" s="38"/>
      <c r="T453" s="38"/>
      <c r="U453" s="38"/>
      <c r="V453" s="39"/>
      <c r="W453" s="38"/>
      <c r="X453" s="42"/>
      <c r="Y453" s="39"/>
      <c r="Z453" s="39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</row>
    <row r="454" ht="16.5" customHeight="1">
      <c r="A454" s="38"/>
      <c r="B454" s="38"/>
      <c r="C454" s="39"/>
      <c r="D454" s="38"/>
      <c r="E454" s="42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41"/>
      <c r="S454" s="38"/>
      <c r="T454" s="38"/>
      <c r="U454" s="38"/>
      <c r="V454" s="39"/>
      <c r="W454" s="38"/>
      <c r="X454" s="42"/>
      <c r="Y454" s="39"/>
      <c r="Z454" s="39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</row>
    <row r="455" ht="16.5" customHeight="1">
      <c r="A455" s="38"/>
      <c r="B455" s="38"/>
      <c r="C455" s="39"/>
      <c r="D455" s="38"/>
      <c r="E455" s="42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41"/>
      <c r="S455" s="38"/>
      <c r="T455" s="38"/>
      <c r="U455" s="38"/>
      <c r="V455" s="39"/>
      <c r="W455" s="38"/>
      <c r="X455" s="42"/>
      <c r="Y455" s="39"/>
      <c r="Z455" s="39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</row>
    <row r="456" ht="16.5" customHeight="1">
      <c r="A456" s="38"/>
      <c r="B456" s="38"/>
      <c r="C456" s="39"/>
      <c r="D456" s="38"/>
      <c r="E456" s="42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41"/>
      <c r="S456" s="38"/>
      <c r="T456" s="38"/>
      <c r="U456" s="38"/>
      <c r="V456" s="39"/>
      <c r="W456" s="38"/>
      <c r="X456" s="42"/>
      <c r="Y456" s="39"/>
      <c r="Z456" s="39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</row>
    <row r="457" ht="16.5" customHeight="1">
      <c r="A457" s="38"/>
      <c r="B457" s="38"/>
      <c r="C457" s="39"/>
      <c r="D457" s="38"/>
      <c r="E457" s="42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41"/>
      <c r="S457" s="38"/>
      <c r="T457" s="38"/>
      <c r="U457" s="38"/>
      <c r="V457" s="39"/>
      <c r="W457" s="38"/>
      <c r="X457" s="42"/>
      <c r="Y457" s="39"/>
      <c r="Z457" s="39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</row>
    <row r="458" ht="16.5" customHeight="1">
      <c r="A458" s="38"/>
      <c r="B458" s="38"/>
      <c r="C458" s="39"/>
      <c r="D458" s="38"/>
      <c r="E458" s="42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41"/>
      <c r="S458" s="38"/>
      <c r="T458" s="38"/>
      <c r="U458" s="38"/>
      <c r="V458" s="39"/>
      <c r="W458" s="38"/>
      <c r="X458" s="42"/>
      <c r="Y458" s="39"/>
      <c r="Z458" s="39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</row>
    <row r="459" ht="16.5" customHeight="1">
      <c r="A459" s="38"/>
      <c r="B459" s="38"/>
      <c r="C459" s="39"/>
      <c r="D459" s="38"/>
      <c r="E459" s="42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41"/>
      <c r="S459" s="38"/>
      <c r="T459" s="38"/>
      <c r="U459" s="38"/>
      <c r="V459" s="39"/>
      <c r="W459" s="38"/>
      <c r="X459" s="42"/>
      <c r="Y459" s="39"/>
      <c r="Z459" s="39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</row>
    <row r="460" ht="16.5" customHeight="1">
      <c r="A460" s="38"/>
      <c r="B460" s="38"/>
      <c r="C460" s="39"/>
      <c r="D460" s="38"/>
      <c r="E460" s="42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41"/>
      <c r="S460" s="38"/>
      <c r="T460" s="38"/>
      <c r="U460" s="38"/>
      <c r="V460" s="39"/>
      <c r="W460" s="38"/>
      <c r="X460" s="42"/>
      <c r="Y460" s="39"/>
      <c r="Z460" s="39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</row>
    <row r="461" ht="16.5" customHeight="1">
      <c r="A461" s="38"/>
      <c r="B461" s="38"/>
      <c r="C461" s="39"/>
      <c r="D461" s="38"/>
      <c r="E461" s="42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41"/>
      <c r="S461" s="38"/>
      <c r="T461" s="38"/>
      <c r="U461" s="38"/>
      <c r="V461" s="39"/>
      <c r="W461" s="38"/>
      <c r="X461" s="42"/>
      <c r="Y461" s="39"/>
      <c r="Z461" s="39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</row>
    <row r="462" ht="16.5" customHeight="1">
      <c r="A462" s="38"/>
      <c r="B462" s="38"/>
      <c r="C462" s="39"/>
      <c r="D462" s="38"/>
      <c r="E462" s="42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41"/>
      <c r="S462" s="38"/>
      <c r="T462" s="38"/>
      <c r="U462" s="38"/>
      <c r="V462" s="39"/>
      <c r="W462" s="38"/>
      <c r="X462" s="42"/>
      <c r="Y462" s="39"/>
      <c r="Z462" s="39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</row>
    <row r="463" ht="16.5" customHeight="1">
      <c r="A463" s="38"/>
      <c r="B463" s="38"/>
      <c r="C463" s="39"/>
      <c r="D463" s="38"/>
      <c r="E463" s="42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41"/>
      <c r="S463" s="38"/>
      <c r="T463" s="38"/>
      <c r="U463" s="38"/>
      <c r="V463" s="39"/>
      <c r="W463" s="38"/>
      <c r="X463" s="42"/>
      <c r="Y463" s="39"/>
      <c r="Z463" s="39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</row>
    <row r="464" ht="16.5" customHeight="1">
      <c r="A464" s="38"/>
      <c r="B464" s="38"/>
      <c r="C464" s="39"/>
      <c r="D464" s="38"/>
      <c r="E464" s="42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41"/>
      <c r="S464" s="38"/>
      <c r="T464" s="38"/>
      <c r="U464" s="38"/>
      <c r="V464" s="39"/>
      <c r="W464" s="38"/>
      <c r="X464" s="42"/>
      <c r="Y464" s="39"/>
      <c r="Z464" s="39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</row>
    <row r="465" ht="16.5" customHeight="1">
      <c r="A465" s="38"/>
      <c r="B465" s="38"/>
      <c r="C465" s="39"/>
      <c r="D465" s="38"/>
      <c r="E465" s="42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41"/>
      <c r="S465" s="38"/>
      <c r="T465" s="38"/>
      <c r="U465" s="38"/>
      <c r="V465" s="39"/>
      <c r="W465" s="38"/>
      <c r="X465" s="42"/>
      <c r="Y465" s="39"/>
      <c r="Z465" s="39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</row>
    <row r="466" ht="16.5" customHeight="1">
      <c r="A466" s="38"/>
      <c r="B466" s="38"/>
      <c r="C466" s="39"/>
      <c r="D466" s="38"/>
      <c r="E466" s="42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41"/>
      <c r="S466" s="38"/>
      <c r="T466" s="38"/>
      <c r="U466" s="38"/>
      <c r="V466" s="39"/>
      <c r="W466" s="38"/>
      <c r="X466" s="42"/>
      <c r="Y466" s="39"/>
      <c r="Z466" s="39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</row>
    <row r="467" ht="16.5" customHeight="1">
      <c r="A467" s="38"/>
      <c r="B467" s="38"/>
      <c r="C467" s="39"/>
      <c r="D467" s="38"/>
      <c r="E467" s="42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41"/>
      <c r="S467" s="38"/>
      <c r="T467" s="38"/>
      <c r="U467" s="38"/>
      <c r="V467" s="39"/>
      <c r="W467" s="38"/>
      <c r="X467" s="42"/>
      <c r="Y467" s="39"/>
      <c r="Z467" s="39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</row>
    <row r="468" ht="16.5" customHeight="1">
      <c r="A468" s="38"/>
      <c r="B468" s="38"/>
      <c r="C468" s="39"/>
      <c r="D468" s="38"/>
      <c r="E468" s="42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41"/>
      <c r="S468" s="38"/>
      <c r="T468" s="38"/>
      <c r="U468" s="38"/>
      <c r="V468" s="39"/>
      <c r="W468" s="38"/>
      <c r="X468" s="42"/>
      <c r="Y468" s="39"/>
      <c r="Z468" s="39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</row>
    <row r="469" ht="16.5" customHeight="1">
      <c r="A469" s="38"/>
      <c r="B469" s="38"/>
      <c r="C469" s="39"/>
      <c r="D469" s="38"/>
      <c r="E469" s="42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41"/>
      <c r="S469" s="38"/>
      <c r="T469" s="38"/>
      <c r="U469" s="38"/>
      <c r="V469" s="39"/>
      <c r="W469" s="38"/>
      <c r="X469" s="42"/>
      <c r="Y469" s="39"/>
      <c r="Z469" s="39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</row>
    <row r="470" ht="16.5" customHeight="1">
      <c r="A470" s="38"/>
      <c r="B470" s="38"/>
      <c r="C470" s="39"/>
      <c r="D470" s="38"/>
      <c r="E470" s="42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41"/>
      <c r="S470" s="38"/>
      <c r="T470" s="38"/>
      <c r="U470" s="38"/>
      <c r="V470" s="39"/>
      <c r="W470" s="38"/>
      <c r="X470" s="42"/>
      <c r="Y470" s="39"/>
      <c r="Z470" s="39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</row>
    <row r="471" ht="16.5" customHeight="1">
      <c r="A471" s="38"/>
      <c r="B471" s="38"/>
      <c r="C471" s="39"/>
      <c r="D471" s="38"/>
      <c r="E471" s="42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41"/>
      <c r="S471" s="38"/>
      <c r="T471" s="38"/>
      <c r="U471" s="38"/>
      <c r="V471" s="39"/>
      <c r="W471" s="38"/>
      <c r="X471" s="42"/>
      <c r="Y471" s="39"/>
      <c r="Z471" s="39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</row>
    <row r="472" ht="16.5" customHeight="1">
      <c r="A472" s="38"/>
      <c r="B472" s="38"/>
      <c r="C472" s="39"/>
      <c r="D472" s="38"/>
      <c r="E472" s="42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41"/>
      <c r="S472" s="38"/>
      <c r="T472" s="38"/>
      <c r="U472" s="38"/>
      <c r="V472" s="39"/>
      <c r="W472" s="38"/>
      <c r="X472" s="42"/>
      <c r="Y472" s="39"/>
      <c r="Z472" s="39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</row>
    <row r="473" ht="16.5" customHeight="1">
      <c r="A473" s="38"/>
      <c r="B473" s="38"/>
      <c r="C473" s="39"/>
      <c r="D473" s="38"/>
      <c r="E473" s="42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41"/>
      <c r="S473" s="38"/>
      <c r="T473" s="38"/>
      <c r="U473" s="38"/>
      <c r="V473" s="39"/>
      <c r="W473" s="38"/>
      <c r="X473" s="42"/>
      <c r="Y473" s="39"/>
      <c r="Z473" s="39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</row>
    <row r="474" ht="16.5" customHeight="1">
      <c r="A474" s="38"/>
      <c r="B474" s="38"/>
      <c r="C474" s="39"/>
      <c r="D474" s="38"/>
      <c r="E474" s="42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41"/>
      <c r="S474" s="38"/>
      <c r="T474" s="38"/>
      <c r="U474" s="38"/>
      <c r="V474" s="39"/>
      <c r="W474" s="38"/>
      <c r="X474" s="42"/>
      <c r="Y474" s="39"/>
      <c r="Z474" s="39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</row>
    <row r="475" ht="16.5" customHeight="1">
      <c r="A475" s="38"/>
      <c r="B475" s="38"/>
      <c r="C475" s="39"/>
      <c r="D475" s="38"/>
      <c r="E475" s="42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41"/>
      <c r="S475" s="38"/>
      <c r="T475" s="38"/>
      <c r="U475" s="38"/>
      <c r="V475" s="39"/>
      <c r="W475" s="38"/>
      <c r="X475" s="42"/>
      <c r="Y475" s="39"/>
      <c r="Z475" s="39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</row>
    <row r="476" ht="16.5" customHeight="1">
      <c r="A476" s="38"/>
      <c r="B476" s="38"/>
      <c r="C476" s="39"/>
      <c r="D476" s="38"/>
      <c r="E476" s="42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41"/>
      <c r="S476" s="38"/>
      <c r="T476" s="38"/>
      <c r="U476" s="38"/>
      <c r="V476" s="39"/>
      <c r="W476" s="38"/>
      <c r="X476" s="42"/>
      <c r="Y476" s="39"/>
      <c r="Z476" s="39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</row>
    <row r="477" ht="16.5" customHeight="1">
      <c r="A477" s="38"/>
      <c r="B477" s="38"/>
      <c r="C477" s="39"/>
      <c r="D477" s="38"/>
      <c r="E477" s="42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41"/>
      <c r="S477" s="38"/>
      <c r="T477" s="38"/>
      <c r="U477" s="38"/>
      <c r="V477" s="39"/>
      <c r="W477" s="38"/>
      <c r="X477" s="42"/>
      <c r="Y477" s="39"/>
      <c r="Z477" s="39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</row>
    <row r="478" ht="16.5" customHeight="1">
      <c r="A478" s="38"/>
      <c r="B478" s="38"/>
      <c r="C478" s="39"/>
      <c r="D478" s="38"/>
      <c r="E478" s="42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41"/>
      <c r="S478" s="38"/>
      <c r="T478" s="38"/>
      <c r="U478" s="38"/>
      <c r="V478" s="39"/>
      <c r="W478" s="38"/>
      <c r="X478" s="42"/>
      <c r="Y478" s="39"/>
      <c r="Z478" s="39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</row>
    <row r="479" ht="16.5" customHeight="1">
      <c r="A479" s="38"/>
      <c r="B479" s="38"/>
      <c r="C479" s="39"/>
      <c r="D479" s="38"/>
      <c r="E479" s="42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41"/>
      <c r="S479" s="38"/>
      <c r="T479" s="38"/>
      <c r="U479" s="38"/>
      <c r="V479" s="39"/>
      <c r="W479" s="38"/>
      <c r="X479" s="42"/>
      <c r="Y479" s="39"/>
      <c r="Z479" s="39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</row>
    <row r="480" ht="16.5" customHeight="1">
      <c r="A480" s="38"/>
      <c r="B480" s="38"/>
      <c r="C480" s="39"/>
      <c r="D480" s="38"/>
      <c r="E480" s="42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41"/>
      <c r="S480" s="38"/>
      <c r="T480" s="38"/>
      <c r="U480" s="38"/>
      <c r="V480" s="39"/>
      <c r="W480" s="38"/>
      <c r="X480" s="42"/>
      <c r="Y480" s="39"/>
      <c r="Z480" s="39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</row>
    <row r="481" ht="16.5" customHeight="1">
      <c r="A481" s="38"/>
      <c r="B481" s="38"/>
      <c r="C481" s="39"/>
      <c r="D481" s="38"/>
      <c r="E481" s="42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41"/>
      <c r="S481" s="38"/>
      <c r="T481" s="38"/>
      <c r="U481" s="38"/>
      <c r="V481" s="39"/>
      <c r="W481" s="38"/>
      <c r="X481" s="42"/>
      <c r="Y481" s="39"/>
      <c r="Z481" s="39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</row>
    <row r="482" ht="16.5" customHeight="1">
      <c r="A482" s="38"/>
      <c r="B482" s="38"/>
      <c r="C482" s="39"/>
      <c r="D482" s="38"/>
      <c r="E482" s="42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41"/>
      <c r="S482" s="38"/>
      <c r="T482" s="38"/>
      <c r="U482" s="38"/>
      <c r="V482" s="39"/>
      <c r="W482" s="38"/>
      <c r="X482" s="42"/>
      <c r="Y482" s="39"/>
      <c r="Z482" s="39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</row>
    <row r="483" ht="16.5" customHeight="1">
      <c r="A483" s="38"/>
      <c r="B483" s="38"/>
      <c r="C483" s="39"/>
      <c r="D483" s="38"/>
      <c r="E483" s="42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41"/>
      <c r="S483" s="38"/>
      <c r="T483" s="38"/>
      <c r="U483" s="38"/>
      <c r="V483" s="39"/>
      <c r="W483" s="38"/>
      <c r="X483" s="42"/>
      <c r="Y483" s="39"/>
      <c r="Z483" s="39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</row>
    <row r="484" ht="16.5" customHeight="1">
      <c r="A484" s="38"/>
      <c r="B484" s="38"/>
      <c r="C484" s="39"/>
      <c r="D484" s="38"/>
      <c r="E484" s="42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41"/>
      <c r="S484" s="38"/>
      <c r="T484" s="38"/>
      <c r="U484" s="38"/>
      <c r="V484" s="39"/>
      <c r="W484" s="38"/>
      <c r="X484" s="42"/>
      <c r="Y484" s="39"/>
      <c r="Z484" s="39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</row>
    <row r="485" ht="16.5" customHeight="1">
      <c r="A485" s="38"/>
      <c r="B485" s="38"/>
      <c r="C485" s="39"/>
      <c r="D485" s="38"/>
      <c r="E485" s="42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41"/>
      <c r="S485" s="38"/>
      <c r="T485" s="38"/>
      <c r="U485" s="38"/>
      <c r="V485" s="39"/>
      <c r="W485" s="38"/>
      <c r="X485" s="42"/>
      <c r="Y485" s="39"/>
      <c r="Z485" s="39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</row>
    <row r="486" ht="16.5" customHeight="1">
      <c r="A486" s="38"/>
      <c r="B486" s="38"/>
      <c r="C486" s="39"/>
      <c r="D486" s="38"/>
      <c r="E486" s="42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41"/>
      <c r="S486" s="38"/>
      <c r="T486" s="38"/>
      <c r="U486" s="38"/>
      <c r="V486" s="39"/>
      <c r="W486" s="38"/>
      <c r="X486" s="42"/>
      <c r="Y486" s="39"/>
      <c r="Z486" s="39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</row>
    <row r="487" ht="16.5" customHeight="1">
      <c r="A487" s="38"/>
      <c r="B487" s="38"/>
      <c r="C487" s="39"/>
      <c r="D487" s="38"/>
      <c r="E487" s="42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41"/>
      <c r="S487" s="38"/>
      <c r="T487" s="38"/>
      <c r="U487" s="38"/>
      <c r="V487" s="39"/>
      <c r="W487" s="38"/>
      <c r="X487" s="42"/>
      <c r="Y487" s="39"/>
      <c r="Z487" s="39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</row>
    <row r="488" ht="16.5" customHeight="1">
      <c r="A488" s="38"/>
      <c r="B488" s="38"/>
      <c r="C488" s="39"/>
      <c r="D488" s="38"/>
      <c r="E488" s="42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41"/>
      <c r="S488" s="38"/>
      <c r="T488" s="38"/>
      <c r="U488" s="38"/>
      <c r="V488" s="39"/>
      <c r="W488" s="38"/>
      <c r="X488" s="42"/>
      <c r="Y488" s="39"/>
      <c r="Z488" s="39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</row>
    <row r="489" ht="16.5" customHeight="1">
      <c r="A489" s="38"/>
      <c r="B489" s="38"/>
      <c r="C489" s="39"/>
      <c r="D489" s="38"/>
      <c r="E489" s="42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41"/>
      <c r="S489" s="38"/>
      <c r="T489" s="38"/>
      <c r="U489" s="38"/>
      <c r="V489" s="39"/>
      <c r="W489" s="38"/>
      <c r="X489" s="42"/>
      <c r="Y489" s="39"/>
      <c r="Z489" s="39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</row>
    <row r="490" ht="16.5" customHeight="1">
      <c r="A490" s="38"/>
      <c r="B490" s="38"/>
      <c r="C490" s="39"/>
      <c r="D490" s="38"/>
      <c r="E490" s="42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41"/>
      <c r="S490" s="38"/>
      <c r="T490" s="38"/>
      <c r="U490" s="38"/>
      <c r="V490" s="39"/>
      <c r="W490" s="38"/>
      <c r="X490" s="42"/>
      <c r="Y490" s="39"/>
      <c r="Z490" s="39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</row>
    <row r="491" ht="16.5" customHeight="1">
      <c r="A491" s="38"/>
      <c r="B491" s="38"/>
      <c r="C491" s="39"/>
      <c r="D491" s="38"/>
      <c r="E491" s="42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41"/>
      <c r="S491" s="38"/>
      <c r="T491" s="38"/>
      <c r="U491" s="38"/>
      <c r="V491" s="39"/>
      <c r="W491" s="38"/>
      <c r="X491" s="42"/>
      <c r="Y491" s="39"/>
      <c r="Z491" s="39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</row>
    <row r="492" ht="16.5" customHeight="1">
      <c r="A492" s="38"/>
      <c r="B492" s="38"/>
      <c r="C492" s="39"/>
      <c r="D492" s="38"/>
      <c r="E492" s="42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41"/>
      <c r="S492" s="38"/>
      <c r="T492" s="38"/>
      <c r="U492" s="38"/>
      <c r="V492" s="39"/>
      <c r="W492" s="38"/>
      <c r="X492" s="42"/>
      <c r="Y492" s="39"/>
      <c r="Z492" s="39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</row>
    <row r="493" ht="16.5" customHeight="1">
      <c r="A493" s="38"/>
      <c r="B493" s="38"/>
      <c r="C493" s="39"/>
      <c r="D493" s="38"/>
      <c r="E493" s="42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41"/>
      <c r="S493" s="38"/>
      <c r="T493" s="38"/>
      <c r="U493" s="38"/>
      <c r="V493" s="39"/>
      <c r="W493" s="38"/>
      <c r="X493" s="42"/>
      <c r="Y493" s="39"/>
      <c r="Z493" s="39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</row>
    <row r="494" ht="16.5" customHeight="1">
      <c r="A494" s="38"/>
      <c r="B494" s="38"/>
      <c r="C494" s="39"/>
      <c r="D494" s="38"/>
      <c r="E494" s="42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41"/>
      <c r="S494" s="38"/>
      <c r="T494" s="38"/>
      <c r="U494" s="38"/>
      <c r="V494" s="39"/>
      <c r="W494" s="38"/>
      <c r="X494" s="42"/>
      <c r="Y494" s="39"/>
      <c r="Z494" s="39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</row>
    <row r="495" ht="16.5" customHeight="1">
      <c r="A495" s="38"/>
      <c r="B495" s="38"/>
      <c r="C495" s="39"/>
      <c r="D495" s="38"/>
      <c r="E495" s="42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41"/>
      <c r="S495" s="38"/>
      <c r="T495" s="38"/>
      <c r="U495" s="38"/>
      <c r="V495" s="39"/>
      <c r="W495" s="38"/>
      <c r="X495" s="42"/>
      <c r="Y495" s="39"/>
      <c r="Z495" s="39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</row>
    <row r="496" ht="16.5" customHeight="1">
      <c r="A496" s="38"/>
      <c r="B496" s="38"/>
      <c r="C496" s="39"/>
      <c r="D496" s="38"/>
      <c r="E496" s="42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41"/>
      <c r="S496" s="38"/>
      <c r="T496" s="38"/>
      <c r="U496" s="38"/>
      <c r="V496" s="39"/>
      <c r="W496" s="38"/>
      <c r="X496" s="42"/>
      <c r="Y496" s="39"/>
      <c r="Z496" s="39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</row>
    <row r="497" ht="16.5" customHeight="1">
      <c r="A497" s="38"/>
      <c r="B497" s="38"/>
      <c r="C497" s="39"/>
      <c r="D497" s="38"/>
      <c r="E497" s="42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41"/>
      <c r="S497" s="38"/>
      <c r="T497" s="38"/>
      <c r="U497" s="38"/>
      <c r="V497" s="39"/>
      <c r="W497" s="38"/>
      <c r="X497" s="42"/>
      <c r="Y497" s="39"/>
      <c r="Z497" s="39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</row>
    <row r="498" ht="16.5" customHeight="1">
      <c r="A498" s="38"/>
      <c r="B498" s="38"/>
      <c r="C498" s="39"/>
      <c r="D498" s="38"/>
      <c r="E498" s="42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41"/>
      <c r="S498" s="38"/>
      <c r="T498" s="38"/>
      <c r="U498" s="38"/>
      <c r="V498" s="39"/>
      <c r="W498" s="38"/>
      <c r="X498" s="42"/>
      <c r="Y498" s="39"/>
      <c r="Z498" s="39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</row>
    <row r="499" ht="16.5" customHeight="1">
      <c r="A499" s="38"/>
      <c r="B499" s="38"/>
      <c r="C499" s="39"/>
      <c r="D499" s="38"/>
      <c r="E499" s="42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41"/>
      <c r="S499" s="38"/>
      <c r="T499" s="38"/>
      <c r="U499" s="38"/>
      <c r="V499" s="39"/>
      <c r="W499" s="38"/>
      <c r="X499" s="42"/>
      <c r="Y499" s="39"/>
      <c r="Z499" s="39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</row>
    <row r="500" ht="16.5" customHeight="1">
      <c r="A500" s="38"/>
      <c r="B500" s="38"/>
      <c r="C500" s="39"/>
      <c r="D500" s="38"/>
      <c r="E500" s="42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41"/>
      <c r="S500" s="38"/>
      <c r="T500" s="38"/>
      <c r="U500" s="38"/>
      <c r="V500" s="39"/>
      <c r="W500" s="38"/>
      <c r="X500" s="42"/>
      <c r="Y500" s="39"/>
      <c r="Z500" s="39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</row>
    <row r="501" ht="16.5" customHeight="1">
      <c r="A501" s="38"/>
      <c r="B501" s="38"/>
      <c r="C501" s="39"/>
      <c r="D501" s="38"/>
      <c r="E501" s="42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41"/>
      <c r="S501" s="38"/>
      <c r="T501" s="38"/>
      <c r="U501" s="38"/>
      <c r="V501" s="39"/>
      <c r="W501" s="38"/>
      <c r="X501" s="42"/>
      <c r="Y501" s="39"/>
      <c r="Z501" s="39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</row>
    <row r="502" ht="16.5" customHeight="1">
      <c r="A502" s="38"/>
      <c r="B502" s="38"/>
      <c r="C502" s="39"/>
      <c r="D502" s="38"/>
      <c r="E502" s="42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41"/>
      <c r="S502" s="38"/>
      <c r="T502" s="38"/>
      <c r="U502" s="38"/>
      <c r="V502" s="39"/>
      <c r="W502" s="38"/>
      <c r="X502" s="42"/>
      <c r="Y502" s="39"/>
      <c r="Z502" s="39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</row>
    <row r="503" ht="16.5" customHeight="1">
      <c r="A503" s="38"/>
      <c r="B503" s="38"/>
      <c r="C503" s="39"/>
      <c r="D503" s="38"/>
      <c r="E503" s="42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41"/>
      <c r="S503" s="38"/>
      <c r="T503" s="38"/>
      <c r="U503" s="38"/>
      <c r="V503" s="39"/>
      <c r="W503" s="38"/>
      <c r="X503" s="42"/>
      <c r="Y503" s="39"/>
      <c r="Z503" s="39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</row>
    <row r="504" ht="16.5" customHeight="1">
      <c r="A504" s="38"/>
      <c r="B504" s="38"/>
      <c r="C504" s="39"/>
      <c r="D504" s="38"/>
      <c r="E504" s="42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41"/>
      <c r="S504" s="38"/>
      <c r="T504" s="38"/>
      <c r="U504" s="38"/>
      <c r="V504" s="39"/>
      <c r="W504" s="38"/>
      <c r="X504" s="42"/>
      <c r="Y504" s="39"/>
      <c r="Z504" s="39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</row>
    <row r="505" ht="16.5" customHeight="1">
      <c r="A505" s="38"/>
      <c r="B505" s="38"/>
      <c r="C505" s="39"/>
      <c r="D505" s="38"/>
      <c r="E505" s="42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41"/>
      <c r="S505" s="38"/>
      <c r="T505" s="38"/>
      <c r="U505" s="38"/>
      <c r="V505" s="39"/>
      <c r="W505" s="38"/>
      <c r="X505" s="42"/>
      <c r="Y505" s="39"/>
      <c r="Z505" s="39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</row>
    <row r="506" ht="16.5" customHeight="1">
      <c r="A506" s="38"/>
      <c r="B506" s="38"/>
      <c r="C506" s="39"/>
      <c r="D506" s="38"/>
      <c r="E506" s="42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41"/>
      <c r="S506" s="38"/>
      <c r="T506" s="38"/>
      <c r="U506" s="38"/>
      <c r="V506" s="39"/>
      <c r="W506" s="38"/>
      <c r="X506" s="42"/>
      <c r="Y506" s="39"/>
      <c r="Z506" s="39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</row>
    <row r="507" ht="16.5" customHeight="1">
      <c r="A507" s="38"/>
      <c r="B507" s="38"/>
      <c r="C507" s="39"/>
      <c r="D507" s="38"/>
      <c r="E507" s="42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41"/>
      <c r="S507" s="38"/>
      <c r="T507" s="38"/>
      <c r="U507" s="38"/>
      <c r="V507" s="39"/>
      <c r="W507" s="38"/>
      <c r="X507" s="42"/>
      <c r="Y507" s="39"/>
      <c r="Z507" s="39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</row>
    <row r="508" ht="16.5" customHeight="1">
      <c r="A508" s="38"/>
      <c r="B508" s="38"/>
      <c r="C508" s="39"/>
      <c r="D508" s="38"/>
      <c r="E508" s="42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41"/>
      <c r="S508" s="38"/>
      <c r="T508" s="38"/>
      <c r="U508" s="38"/>
      <c r="V508" s="39"/>
      <c r="W508" s="38"/>
      <c r="X508" s="42"/>
      <c r="Y508" s="39"/>
      <c r="Z508" s="39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</row>
    <row r="509" ht="16.5" customHeight="1">
      <c r="A509" s="38"/>
      <c r="B509" s="38"/>
      <c r="C509" s="39"/>
      <c r="D509" s="38"/>
      <c r="E509" s="42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41"/>
      <c r="S509" s="38"/>
      <c r="T509" s="38"/>
      <c r="U509" s="38"/>
      <c r="V509" s="39"/>
      <c r="W509" s="38"/>
      <c r="X509" s="42"/>
      <c r="Y509" s="39"/>
      <c r="Z509" s="39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</row>
    <row r="510" ht="16.5" customHeight="1">
      <c r="A510" s="38"/>
      <c r="B510" s="38"/>
      <c r="C510" s="39"/>
      <c r="D510" s="38"/>
      <c r="E510" s="42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41"/>
      <c r="S510" s="38"/>
      <c r="T510" s="38"/>
      <c r="U510" s="38"/>
      <c r="V510" s="39"/>
      <c r="W510" s="38"/>
      <c r="X510" s="42"/>
      <c r="Y510" s="39"/>
      <c r="Z510" s="39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</row>
    <row r="511" ht="16.5" customHeight="1">
      <c r="A511" s="38"/>
      <c r="B511" s="38"/>
      <c r="C511" s="39"/>
      <c r="D511" s="38"/>
      <c r="E511" s="42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41"/>
      <c r="S511" s="38"/>
      <c r="T511" s="38"/>
      <c r="U511" s="38"/>
      <c r="V511" s="39"/>
      <c r="W511" s="38"/>
      <c r="X511" s="42"/>
      <c r="Y511" s="39"/>
      <c r="Z511" s="39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</row>
    <row r="512" ht="16.5" customHeight="1">
      <c r="A512" s="38"/>
      <c r="B512" s="38"/>
      <c r="C512" s="39"/>
      <c r="D512" s="38"/>
      <c r="E512" s="42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41"/>
      <c r="S512" s="38"/>
      <c r="T512" s="38"/>
      <c r="U512" s="38"/>
      <c r="V512" s="39"/>
      <c r="W512" s="38"/>
      <c r="X512" s="42"/>
      <c r="Y512" s="39"/>
      <c r="Z512" s="39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</row>
    <row r="513" ht="16.5" customHeight="1">
      <c r="A513" s="38"/>
      <c r="B513" s="38"/>
      <c r="C513" s="39"/>
      <c r="D513" s="38"/>
      <c r="E513" s="42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41"/>
      <c r="S513" s="38"/>
      <c r="T513" s="38"/>
      <c r="U513" s="38"/>
      <c r="V513" s="39"/>
      <c r="W513" s="38"/>
      <c r="X513" s="42"/>
      <c r="Y513" s="39"/>
      <c r="Z513" s="39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</row>
    <row r="514" ht="16.5" customHeight="1">
      <c r="A514" s="38"/>
      <c r="B514" s="38"/>
      <c r="C514" s="39"/>
      <c r="D514" s="38"/>
      <c r="E514" s="42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41"/>
      <c r="S514" s="38"/>
      <c r="T514" s="38"/>
      <c r="U514" s="38"/>
      <c r="V514" s="39"/>
      <c r="W514" s="38"/>
      <c r="X514" s="42"/>
      <c r="Y514" s="39"/>
      <c r="Z514" s="39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</row>
    <row r="515" ht="16.5" customHeight="1">
      <c r="A515" s="38"/>
      <c r="B515" s="38"/>
      <c r="C515" s="39"/>
      <c r="D515" s="38"/>
      <c r="E515" s="42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41"/>
      <c r="S515" s="38"/>
      <c r="T515" s="38"/>
      <c r="U515" s="38"/>
      <c r="V515" s="39"/>
      <c r="W515" s="38"/>
      <c r="X515" s="42"/>
      <c r="Y515" s="39"/>
      <c r="Z515" s="39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</row>
    <row r="516" ht="16.5" customHeight="1">
      <c r="A516" s="38"/>
      <c r="B516" s="38"/>
      <c r="C516" s="39"/>
      <c r="D516" s="38"/>
      <c r="E516" s="42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41"/>
      <c r="S516" s="38"/>
      <c r="T516" s="38"/>
      <c r="U516" s="38"/>
      <c r="V516" s="39"/>
      <c r="W516" s="38"/>
      <c r="X516" s="42"/>
      <c r="Y516" s="39"/>
      <c r="Z516" s="39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</row>
    <row r="517" ht="16.5" customHeight="1">
      <c r="A517" s="38"/>
      <c r="B517" s="38"/>
      <c r="C517" s="39"/>
      <c r="D517" s="38"/>
      <c r="E517" s="42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41"/>
      <c r="S517" s="38"/>
      <c r="T517" s="38"/>
      <c r="U517" s="38"/>
      <c r="V517" s="39"/>
      <c r="W517" s="38"/>
      <c r="X517" s="42"/>
      <c r="Y517" s="39"/>
      <c r="Z517" s="39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</row>
    <row r="518" ht="16.5" customHeight="1">
      <c r="A518" s="38"/>
      <c r="B518" s="38"/>
      <c r="C518" s="39"/>
      <c r="D518" s="38"/>
      <c r="E518" s="42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41"/>
      <c r="S518" s="38"/>
      <c r="T518" s="38"/>
      <c r="U518" s="38"/>
      <c r="V518" s="39"/>
      <c r="W518" s="38"/>
      <c r="X518" s="42"/>
      <c r="Y518" s="39"/>
      <c r="Z518" s="39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</row>
    <row r="519" ht="16.5" customHeight="1">
      <c r="A519" s="38"/>
      <c r="B519" s="38"/>
      <c r="C519" s="39"/>
      <c r="D519" s="38"/>
      <c r="E519" s="42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41"/>
      <c r="S519" s="38"/>
      <c r="T519" s="38"/>
      <c r="U519" s="38"/>
      <c r="V519" s="39"/>
      <c r="W519" s="38"/>
      <c r="X519" s="42"/>
      <c r="Y519" s="39"/>
      <c r="Z519" s="39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</row>
    <row r="520" ht="16.5" customHeight="1">
      <c r="A520" s="38"/>
      <c r="B520" s="38"/>
      <c r="C520" s="39"/>
      <c r="D520" s="38"/>
      <c r="E520" s="42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41"/>
      <c r="S520" s="38"/>
      <c r="T520" s="38"/>
      <c r="U520" s="38"/>
      <c r="V520" s="39"/>
      <c r="W520" s="38"/>
      <c r="X520" s="42"/>
      <c r="Y520" s="39"/>
      <c r="Z520" s="39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</row>
    <row r="521" ht="16.5" customHeight="1">
      <c r="A521" s="38"/>
      <c r="B521" s="38"/>
      <c r="C521" s="39"/>
      <c r="D521" s="38"/>
      <c r="E521" s="42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41"/>
      <c r="S521" s="38"/>
      <c r="T521" s="38"/>
      <c r="U521" s="38"/>
      <c r="V521" s="39"/>
      <c r="W521" s="38"/>
      <c r="X521" s="42"/>
      <c r="Y521" s="39"/>
      <c r="Z521" s="39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</row>
    <row r="522" ht="16.5" customHeight="1">
      <c r="A522" s="38"/>
      <c r="B522" s="38"/>
      <c r="C522" s="39"/>
      <c r="D522" s="38"/>
      <c r="E522" s="42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41"/>
      <c r="S522" s="38"/>
      <c r="T522" s="38"/>
      <c r="U522" s="38"/>
      <c r="V522" s="39"/>
      <c r="W522" s="38"/>
      <c r="X522" s="42"/>
      <c r="Y522" s="39"/>
      <c r="Z522" s="39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</row>
    <row r="523" ht="16.5" customHeight="1">
      <c r="A523" s="38"/>
      <c r="B523" s="38"/>
      <c r="C523" s="39"/>
      <c r="D523" s="38"/>
      <c r="E523" s="42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41"/>
      <c r="S523" s="38"/>
      <c r="T523" s="38"/>
      <c r="U523" s="38"/>
      <c r="V523" s="39"/>
      <c r="W523" s="38"/>
      <c r="X523" s="42"/>
      <c r="Y523" s="39"/>
      <c r="Z523" s="39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</row>
    <row r="524" ht="16.5" customHeight="1">
      <c r="A524" s="38"/>
      <c r="B524" s="38"/>
      <c r="C524" s="39"/>
      <c r="D524" s="38"/>
      <c r="E524" s="42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41"/>
      <c r="S524" s="38"/>
      <c r="T524" s="38"/>
      <c r="U524" s="38"/>
      <c r="V524" s="39"/>
      <c r="W524" s="38"/>
      <c r="X524" s="42"/>
      <c r="Y524" s="39"/>
      <c r="Z524" s="39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</row>
    <row r="525" ht="16.5" customHeight="1">
      <c r="A525" s="38"/>
      <c r="B525" s="38"/>
      <c r="C525" s="39"/>
      <c r="D525" s="38"/>
      <c r="E525" s="42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41"/>
      <c r="S525" s="38"/>
      <c r="T525" s="38"/>
      <c r="U525" s="38"/>
      <c r="V525" s="39"/>
      <c r="W525" s="38"/>
      <c r="X525" s="42"/>
      <c r="Y525" s="39"/>
      <c r="Z525" s="39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</row>
    <row r="526" ht="16.5" customHeight="1">
      <c r="A526" s="38"/>
      <c r="B526" s="38"/>
      <c r="C526" s="39"/>
      <c r="D526" s="38"/>
      <c r="E526" s="42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41"/>
      <c r="S526" s="38"/>
      <c r="T526" s="38"/>
      <c r="U526" s="38"/>
      <c r="V526" s="39"/>
      <c r="W526" s="38"/>
      <c r="X526" s="42"/>
      <c r="Y526" s="39"/>
      <c r="Z526" s="39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</row>
    <row r="527" ht="16.5" customHeight="1">
      <c r="A527" s="38"/>
      <c r="B527" s="38"/>
      <c r="C527" s="39"/>
      <c r="D527" s="38"/>
      <c r="E527" s="42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41"/>
      <c r="S527" s="38"/>
      <c r="T527" s="38"/>
      <c r="U527" s="38"/>
      <c r="V527" s="39"/>
      <c r="W527" s="38"/>
      <c r="X527" s="42"/>
      <c r="Y527" s="39"/>
      <c r="Z527" s="39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</row>
    <row r="528" ht="16.5" customHeight="1">
      <c r="A528" s="38"/>
      <c r="B528" s="38"/>
      <c r="C528" s="39"/>
      <c r="D528" s="38"/>
      <c r="E528" s="42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41"/>
      <c r="S528" s="38"/>
      <c r="T528" s="38"/>
      <c r="U528" s="38"/>
      <c r="V528" s="39"/>
      <c r="W528" s="38"/>
      <c r="X528" s="42"/>
      <c r="Y528" s="39"/>
      <c r="Z528" s="39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</row>
    <row r="529" ht="16.5" customHeight="1">
      <c r="A529" s="38"/>
      <c r="B529" s="38"/>
      <c r="C529" s="39"/>
      <c r="D529" s="38"/>
      <c r="E529" s="42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41"/>
      <c r="S529" s="38"/>
      <c r="T529" s="38"/>
      <c r="U529" s="38"/>
      <c r="V529" s="39"/>
      <c r="W529" s="38"/>
      <c r="X529" s="42"/>
      <c r="Y529" s="39"/>
      <c r="Z529" s="39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</row>
    <row r="530" ht="16.5" customHeight="1">
      <c r="A530" s="38"/>
      <c r="B530" s="38"/>
      <c r="C530" s="39"/>
      <c r="D530" s="38"/>
      <c r="E530" s="42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41"/>
      <c r="S530" s="38"/>
      <c r="T530" s="38"/>
      <c r="U530" s="38"/>
      <c r="V530" s="39"/>
      <c r="W530" s="38"/>
      <c r="X530" s="42"/>
      <c r="Y530" s="39"/>
      <c r="Z530" s="39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</row>
    <row r="531" ht="16.5" customHeight="1">
      <c r="A531" s="38"/>
      <c r="B531" s="38"/>
      <c r="C531" s="39"/>
      <c r="D531" s="38"/>
      <c r="E531" s="42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41"/>
      <c r="S531" s="38"/>
      <c r="T531" s="38"/>
      <c r="U531" s="38"/>
      <c r="V531" s="39"/>
      <c r="W531" s="38"/>
      <c r="X531" s="42"/>
      <c r="Y531" s="39"/>
      <c r="Z531" s="39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</row>
    <row r="532" ht="16.5" customHeight="1">
      <c r="A532" s="38"/>
      <c r="B532" s="38"/>
      <c r="C532" s="39"/>
      <c r="D532" s="38"/>
      <c r="E532" s="42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41"/>
      <c r="S532" s="38"/>
      <c r="T532" s="38"/>
      <c r="U532" s="38"/>
      <c r="V532" s="39"/>
      <c r="W532" s="38"/>
      <c r="X532" s="42"/>
      <c r="Y532" s="39"/>
      <c r="Z532" s="39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</row>
    <row r="533" ht="16.5" customHeight="1">
      <c r="A533" s="38"/>
      <c r="B533" s="38"/>
      <c r="C533" s="39"/>
      <c r="D533" s="38"/>
      <c r="E533" s="42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41"/>
      <c r="S533" s="38"/>
      <c r="T533" s="38"/>
      <c r="U533" s="38"/>
      <c r="V533" s="39"/>
      <c r="W533" s="38"/>
      <c r="X533" s="42"/>
      <c r="Y533" s="39"/>
      <c r="Z533" s="39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</row>
    <row r="534" ht="16.5" customHeight="1">
      <c r="A534" s="38"/>
      <c r="B534" s="38"/>
      <c r="C534" s="39"/>
      <c r="D534" s="38"/>
      <c r="E534" s="42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41"/>
      <c r="S534" s="38"/>
      <c r="T534" s="38"/>
      <c r="U534" s="38"/>
      <c r="V534" s="39"/>
      <c r="W534" s="38"/>
      <c r="X534" s="42"/>
      <c r="Y534" s="39"/>
      <c r="Z534" s="39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</row>
    <row r="535" ht="16.5" customHeight="1">
      <c r="A535" s="38"/>
      <c r="B535" s="38"/>
      <c r="C535" s="39"/>
      <c r="D535" s="38"/>
      <c r="E535" s="42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41"/>
      <c r="S535" s="38"/>
      <c r="T535" s="38"/>
      <c r="U535" s="38"/>
      <c r="V535" s="39"/>
      <c r="W535" s="38"/>
      <c r="X535" s="42"/>
      <c r="Y535" s="39"/>
      <c r="Z535" s="39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</row>
    <row r="536" ht="16.5" customHeight="1">
      <c r="A536" s="38"/>
      <c r="B536" s="38"/>
      <c r="C536" s="39"/>
      <c r="D536" s="38"/>
      <c r="E536" s="42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41"/>
      <c r="S536" s="38"/>
      <c r="T536" s="38"/>
      <c r="U536" s="38"/>
      <c r="V536" s="39"/>
      <c r="W536" s="38"/>
      <c r="X536" s="42"/>
      <c r="Y536" s="39"/>
      <c r="Z536" s="39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</row>
    <row r="537" ht="16.5" customHeight="1">
      <c r="A537" s="38"/>
      <c r="B537" s="38"/>
      <c r="C537" s="39"/>
      <c r="D537" s="38"/>
      <c r="E537" s="42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41"/>
      <c r="S537" s="38"/>
      <c r="T537" s="38"/>
      <c r="U537" s="38"/>
      <c r="V537" s="39"/>
      <c r="W537" s="38"/>
      <c r="X537" s="42"/>
      <c r="Y537" s="39"/>
      <c r="Z537" s="39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</row>
    <row r="538" ht="16.5" customHeight="1">
      <c r="A538" s="38"/>
      <c r="B538" s="38"/>
      <c r="C538" s="39"/>
      <c r="D538" s="38"/>
      <c r="E538" s="42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41"/>
      <c r="S538" s="38"/>
      <c r="T538" s="38"/>
      <c r="U538" s="38"/>
      <c r="V538" s="39"/>
      <c r="W538" s="38"/>
      <c r="X538" s="42"/>
      <c r="Y538" s="39"/>
      <c r="Z538" s="39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</row>
    <row r="539" ht="16.5" customHeight="1">
      <c r="A539" s="38"/>
      <c r="B539" s="38"/>
      <c r="C539" s="39"/>
      <c r="D539" s="38"/>
      <c r="E539" s="42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41"/>
      <c r="S539" s="38"/>
      <c r="T539" s="38"/>
      <c r="U539" s="38"/>
      <c r="V539" s="39"/>
      <c r="W539" s="38"/>
      <c r="X539" s="42"/>
      <c r="Y539" s="39"/>
      <c r="Z539" s="39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</row>
    <row r="540" ht="16.5" customHeight="1">
      <c r="A540" s="38"/>
      <c r="B540" s="38"/>
      <c r="C540" s="39"/>
      <c r="D540" s="38"/>
      <c r="E540" s="42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41"/>
      <c r="S540" s="38"/>
      <c r="T540" s="38"/>
      <c r="U540" s="38"/>
      <c r="V540" s="39"/>
      <c r="W540" s="38"/>
      <c r="X540" s="42"/>
      <c r="Y540" s="39"/>
      <c r="Z540" s="39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</row>
    <row r="541" ht="16.5" customHeight="1">
      <c r="A541" s="38"/>
      <c r="B541" s="38"/>
      <c r="C541" s="39"/>
      <c r="D541" s="38"/>
      <c r="E541" s="42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41"/>
      <c r="S541" s="38"/>
      <c r="T541" s="38"/>
      <c r="U541" s="38"/>
      <c r="V541" s="39"/>
      <c r="W541" s="38"/>
      <c r="X541" s="42"/>
      <c r="Y541" s="39"/>
      <c r="Z541" s="39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</row>
    <row r="542" ht="16.5" customHeight="1">
      <c r="A542" s="38"/>
      <c r="B542" s="38"/>
      <c r="C542" s="39"/>
      <c r="D542" s="38"/>
      <c r="E542" s="42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41"/>
      <c r="S542" s="38"/>
      <c r="T542" s="38"/>
      <c r="U542" s="38"/>
      <c r="V542" s="39"/>
      <c r="W542" s="38"/>
      <c r="X542" s="42"/>
      <c r="Y542" s="39"/>
      <c r="Z542" s="39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</row>
    <row r="543" ht="16.5" customHeight="1">
      <c r="A543" s="38"/>
      <c r="B543" s="38"/>
      <c r="C543" s="39"/>
      <c r="D543" s="38"/>
      <c r="E543" s="42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41"/>
      <c r="S543" s="38"/>
      <c r="T543" s="38"/>
      <c r="U543" s="38"/>
      <c r="V543" s="39"/>
      <c r="W543" s="38"/>
      <c r="X543" s="42"/>
      <c r="Y543" s="39"/>
      <c r="Z543" s="39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</row>
    <row r="544" ht="16.5" customHeight="1">
      <c r="A544" s="38"/>
      <c r="B544" s="38"/>
      <c r="C544" s="39"/>
      <c r="D544" s="38"/>
      <c r="E544" s="42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41"/>
      <c r="S544" s="38"/>
      <c r="T544" s="38"/>
      <c r="U544" s="38"/>
      <c r="V544" s="39"/>
      <c r="W544" s="38"/>
      <c r="X544" s="42"/>
      <c r="Y544" s="39"/>
      <c r="Z544" s="39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</row>
    <row r="545" ht="16.5" customHeight="1">
      <c r="A545" s="38"/>
      <c r="B545" s="38"/>
      <c r="C545" s="39"/>
      <c r="D545" s="38"/>
      <c r="E545" s="42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41"/>
      <c r="S545" s="38"/>
      <c r="T545" s="38"/>
      <c r="U545" s="38"/>
      <c r="V545" s="39"/>
      <c r="W545" s="38"/>
      <c r="X545" s="42"/>
      <c r="Y545" s="39"/>
      <c r="Z545" s="39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</row>
    <row r="546" ht="16.5" customHeight="1">
      <c r="A546" s="38"/>
      <c r="B546" s="38"/>
      <c r="C546" s="39"/>
      <c r="D546" s="38"/>
      <c r="E546" s="42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41"/>
      <c r="S546" s="38"/>
      <c r="T546" s="38"/>
      <c r="U546" s="38"/>
      <c r="V546" s="39"/>
      <c r="W546" s="38"/>
      <c r="X546" s="42"/>
      <c r="Y546" s="39"/>
      <c r="Z546" s="39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</row>
    <row r="547" ht="16.5" customHeight="1">
      <c r="A547" s="38"/>
      <c r="B547" s="38"/>
      <c r="C547" s="39"/>
      <c r="D547" s="38"/>
      <c r="E547" s="42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41"/>
      <c r="S547" s="38"/>
      <c r="T547" s="38"/>
      <c r="U547" s="38"/>
      <c r="V547" s="39"/>
      <c r="W547" s="38"/>
      <c r="X547" s="42"/>
      <c r="Y547" s="39"/>
      <c r="Z547" s="39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</row>
    <row r="548" ht="16.5" customHeight="1">
      <c r="A548" s="38"/>
      <c r="B548" s="38"/>
      <c r="C548" s="39"/>
      <c r="D548" s="38"/>
      <c r="E548" s="42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41"/>
      <c r="S548" s="38"/>
      <c r="T548" s="38"/>
      <c r="U548" s="38"/>
      <c r="V548" s="39"/>
      <c r="W548" s="38"/>
      <c r="X548" s="42"/>
      <c r="Y548" s="39"/>
      <c r="Z548" s="39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</row>
    <row r="549" ht="16.5" customHeight="1">
      <c r="A549" s="38"/>
      <c r="B549" s="38"/>
      <c r="C549" s="39"/>
      <c r="D549" s="38"/>
      <c r="E549" s="42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41"/>
      <c r="S549" s="38"/>
      <c r="T549" s="38"/>
      <c r="U549" s="38"/>
      <c r="V549" s="39"/>
      <c r="W549" s="38"/>
      <c r="X549" s="42"/>
      <c r="Y549" s="39"/>
      <c r="Z549" s="39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</row>
    <row r="550" ht="16.5" customHeight="1">
      <c r="A550" s="38"/>
      <c r="B550" s="38"/>
      <c r="C550" s="39"/>
      <c r="D550" s="38"/>
      <c r="E550" s="42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41"/>
      <c r="S550" s="38"/>
      <c r="T550" s="38"/>
      <c r="U550" s="38"/>
      <c r="V550" s="39"/>
      <c r="W550" s="38"/>
      <c r="X550" s="42"/>
      <c r="Y550" s="39"/>
      <c r="Z550" s="39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</row>
    <row r="551" ht="16.5" customHeight="1">
      <c r="A551" s="38"/>
      <c r="B551" s="38"/>
      <c r="C551" s="39"/>
      <c r="D551" s="38"/>
      <c r="E551" s="42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41"/>
      <c r="S551" s="38"/>
      <c r="T551" s="38"/>
      <c r="U551" s="38"/>
      <c r="V551" s="39"/>
      <c r="W551" s="38"/>
      <c r="X551" s="42"/>
      <c r="Y551" s="39"/>
      <c r="Z551" s="39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</row>
    <row r="552" ht="16.5" customHeight="1">
      <c r="A552" s="38"/>
      <c r="B552" s="38"/>
      <c r="C552" s="39"/>
      <c r="D552" s="38"/>
      <c r="E552" s="42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41"/>
      <c r="S552" s="38"/>
      <c r="T552" s="38"/>
      <c r="U552" s="38"/>
      <c r="V552" s="39"/>
      <c r="W552" s="38"/>
      <c r="X552" s="42"/>
      <c r="Y552" s="39"/>
      <c r="Z552" s="39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</row>
    <row r="553" ht="16.5" customHeight="1">
      <c r="A553" s="38"/>
      <c r="B553" s="38"/>
      <c r="C553" s="39"/>
      <c r="D553" s="38"/>
      <c r="E553" s="42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41"/>
      <c r="S553" s="38"/>
      <c r="T553" s="38"/>
      <c r="U553" s="38"/>
      <c r="V553" s="39"/>
      <c r="W553" s="38"/>
      <c r="X553" s="42"/>
      <c r="Y553" s="39"/>
      <c r="Z553" s="39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</row>
    <row r="554" ht="16.5" customHeight="1">
      <c r="A554" s="38"/>
      <c r="B554" s="38"/>
      <c r="C554" s="39"/>
      <c r="D554" s="38"/>
      <c r="E554" s="42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41"/>
      <c r="S554" s="38"/>
      <c r="T554" s="38"/>
      <c r="U554" s="38"/>
      <c r="V554" s="39"/>
      <c r="W554" s="38"/>
      <c r="X554" s="42"/>
      <c r="Y554" s="39"/>
      <c r="Z554" s="39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</row>
    <row r="555" ht="16.5" customHeight="1">
      <c r="A555" s="38"/>
      <c r="B555" s="38"/>
      <c r="C555" s="39"/>
      <c r="D555" s="38"/>
      <c r="E555" s="42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41"/>
      <c r="S555" s="38"/>
      <c r="T555" s="38"/>
      <c r="U555" s="38"/>
      <c r="V555" s="39"/>
      <c r="W555" s="38"/>
      <c r="X555" s="42"/>
      <c r="Y555" s="39"/>
      <c r="Z555" s="39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</row>
    <row r="556" ht="16.5" customHeight="1">
      <c r="A556" s="38"/>
      <c r="B556" s="38"/>
      <c r="C556" s="39"/>
      <c r="D556" s="38"/>
      <c r="E556" s="42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41"/>
      <c r="S556" s="38"/>
      <c r="T556" s="38"/>
      <c r="U556" s="38"/>
      <c r="V556" s="39"/>
      <c r="W556" s="38"/>
      <c r="X556" s="42"/>
      <c r="Y556" s="39"/>
      <c r="Z556" s="39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</row>
    <row r="557" ht="16.5" customHeight="1">
      <c r="A557" s="38"/>
      <c r="B557" s="38"/>
      <c r="C557" s="39"/>
      <c r="D557" s="38"/>
      <c r="E557" s="42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41"/>
      <c r="S557" s="38"/>
      <c r="T557" s="38"/>
      <c r="U557" s="38"/>
      <c r="V557" s="39"/>
      <c r="W557" s="38"/>
      <c r="X557" s="42"/>
      <c r="Y557" s="39"/>
      <c r="Z557" s="39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</row>
    <row r="558" ht="16.5" customHeight="1">
      <c r="A558" s="38"/>
      <c r="B558" s="38"/>
      <c r="C558" s="39"/>
      <c r="D558" s="38"/>
      <c r="E558" s="42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41"/>
      <c r="S558" s="38"/>
      <c r="T558" s="38"/>
      <c r="U558" s="38"/>
      <c r="V558" s="39"/>
      <c r="W558" s="38"/>
      <c r="X558" s="42"/>
      <c r="Y558" s="39"/>
      <c r="Z558" s="39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</row>
    <row r="559" ht="16.5" customHeight="1">
      <c r="A559" s="38"/>
      <c r="B559" s="38"/>
      <c r="C559" s="39"/>
      <c r="D559" s="38"/>
      <c r="E559" s="42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41"/>
      <c r="S559" s="38"/>
      <c r="T559" s="38"/>
      <c r="U559" s="38"/>
      <c r="V559" s="39"/>
      <c r="W559" s="38"/>
      <c r="X559" s="42"/>
      <c r="Y559" s="39"/>
      <c r="Z559" s="39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</row>
    <row r="560" ht="16.5" customHeight="1">
      <c r="A560" s="38"/>
      <c r="B560" s="38"/>
      <c r="C560" s="39"/>
      <c r="D560" s="38"/>
      <c r="E560" s="42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41"/>
      <c r="S560" s="38"/>
      <c r="T560" s="38"/>
      <c r="U560" s="38"/>
      <c r="V560" s="39"/>
      <c r="W560" s="38"/>
      <c r="X560" s="42"/>
      <c r="Y560" s="39"/>
      <c r="Z560" s="39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</row>
    <row r="561" ht="16.5" customHeight="1">
      <c r="A561" s="38"/>
      <c r="B561" s="38"/>
      <c r="C561" s="39"/>
      <c r="D561" s="38"/>
      <c r="E561" s="42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41"/>
      <c r="S561" s="38"/>
      <c r="T561" s="38"/>
      <c r="U561" s="38"/>
      <c r="V561" s="39"/>
      <c r="W561" s="38"/>
      <c r="X561" s="42"/>
      <c r="Y561" s="39"/>
      <c r="Z561" s="39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</row>
    <row r="562" ht="16.5" customHeight="1">
      <c r="A562" s="38"/>
      <c r="B562" s="38"/>
      <c r="C562" s="39"/>
      <c r="D562" s="38"/>
      <c r="E562" s="42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41"/>
      <c r="S562" s="38"/>
      <c r="T562" s="38"/>
      <c r="U562" s="38"/>
      <c r="V562" s="39"/>
      <c r="W562" s="38"/>
      <c r="X562" s="42"/>
      <c r="Y562" s="39"/>
      <c r="Z562" s="39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</row>
    <row r="563" ht="16.5" customHeight="1">
      <c r="A563" s="38"/>
      <c r="B563" s="38"/>
      <c r="C563" s="39"/>
      <c r="D563" s="38"/>
      <c r="E563" s="42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41"/>
      <c r="S563" s="38"/>
      <c r="T563" s="38"/>
      <c r="U563" s="38"/>
      <c r="V563" s="39"/>
      <c r="W563" s="38"/>
      <c r="X563" s="42"/>
      <c r="Y563" s="39"/>
      <c r="Z563" s="39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</row>
    <row r="564" ht="16.5" customHeight="1">
      <c r="A564" s="38"/>
      <c r="B564" s="38"/>
      <c r="C564" s="39"/>
      <c r="D564" s="38"/>
      <c r="E564" s="42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41"/>
      <c r="S564" s="38"/>
      <c r="T564" s="38"/>
      <c r="U564" s="38"/>
      <c r="V564" s="39"/>
      <c r="W564" s="38"/>
      <c r="X564" s="42"/>
      <c r="Y564" s="39"/>
      <c r="Z564" s="39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</row>
    <row r="565" ht="16.5" customHeight="1">
      <c r="A565" s="38"/>
      <c r="B565" s="38"/>
      <c r="C565" s="39"/>
      <c r="D565" s="38"/>
      <c r="E565" s="42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41"/>
      <c r="S565" s="38"/>
      <c r="T565" s="38"/>
      <c r="U565" s="38"/>
      <c r="V565" s="39"/>
      <c r="W565" s="38"/>
      <c r="X565" s="42"/>
      <c r="Y565" s="39"/>
      <c r="Z565" s="39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</row>
    <row r="566" ht="16.5" customHeight="1">
      <c r="A566" s="38"/>
      <c r="B566" s="38"/>
      <c r="C566" s="39"/>
      <c r="D566" s="38"/>
      <c r="E566" s="42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41"/>
      <c r="S566" s="38"/>
      <c r="T566" s="38"/>
      <c r="U566" s="38"/>
      <c r="V566" s="39"/>
      <c r="W566" s="38"/>
      <c r="X566" s="42"/>
      <c r="Y566" s="39"/>
      <c r="Z566" s="39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</row>
    <row r="567" ht="16.5" customHeight="1">
      <c r="A567" s="38"/>
      <c r="B567" s="38"/>
      <c r="C567" s="39"/>
      <c r="D567" s="38"/>
      <c r="E567" s="42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41"/>
      <c r="S567" s="38"/>
      <c r="T567" s="38"/>
      <c r="U567" s="38"/>
      <c r="V567" s="39"/>
      <c r="W567" s="38"/>
      <c r="X567" s="42"/>
      <c r="Y567" s="39"/>
      <c r="Z567" s="39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</row>
    <row r="568" ht="16.5" customHeight="1">
      <c r="A568" s="38"/>
      <c r="B568" s="38"/>
      <c r="C568" s="39"/>
      <c r="D568" s="38"/>
      <c r="E568" s="42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41"/>
      <c r="S568" s="38"/>
      <c r="T568" s="38"/>
      <c r="U568" s="38"/>
      <c r="V568" s="39"/>
      <c r="W568" s="38"/>
      <c r="X568" s="42"/>
      <c r="Y568" s="39"/>
      <c r="Z568" s="39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</row>
    <row r="569" ht="16.5" customHeight="1">
      <c r="A569" s="38"/>
      <c r="B569" s="38"/>
      <c r="C569" s="39"/>
      <c r="D569" s="38"/>
      <c r="E569" s="42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41"/>
      <c r="S569" s="38"/>
      <c r="T569" s="38"/>
      <c r="U569" s="38"/>
      <c r="V569" s="39"/>
      <c r="W569" s="38"/>
      <c r="X569" s="42"/>
      <c r="Y569" s="39"/>
      <c r="Z569" s="39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</row>
    <row r="570" ht="16.5" customHeight="1">
      <c r="A570" s="38"/>
      <c r="B570" s="38"/>
      <c r="C570" s="39"/>
      <c r="D570" s="38"/>
      <c r="E570" s="42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41"/>
      <c r="S570" s="38"/>
      <c r="T570" s="38"/>
      <c r="U570" s="38"/>
      <c r="V570" s="39"/>
      <c r="W570" s="38"/>
      <c r="X570" s="42"/>
      <c r="Y570" s="39"/>
      <c r="Z570" s="39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</row>
    <row r="571" ht="16.5" customHeight="1">
      <c r="A571" s="38"/>
      <c r="B571" s="38"/>
      <c r="C571" s="39"/>
      <c r="D571" s="38"/>
      <c r="E571" s="42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41"/>
      <c r="S571" s="38"/>
      <c r="T571" s="38"/>
      <c r="U571" s="38"/>
      <c r="V571" s="39"/>
      <c r="W571" s="38"/>
      <c r="X571" s="42"/>
      <c r="Y571" s="39"/>
      <c r="Z571" s="39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</row>
    <row r="572" ht="16.5" customHeight="1">
      <c r="A572" s="38"/>
      <c r="B572" s="38"/>
      <c r="C572" s="39"/>
      <c r="D572" s="38"/>
      <c r="E572" s="42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41"/>
      <c r="S572" s="38"/>
      <c r="T572" s="38"/>
      <c r="U572" s="38"/>
      <c r="V572" s="39"/>
      <c r="W572" s="38"/>
      <c r="X572" s="42"/>
      <c r="Y572" s="39"/>
      <c r="Z572" s="39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</row>
    <row r="573" ht="16.5" customHeight="1">
      <c r="A573" s="38"/>
      <c r="B573" s="38"/>
      <c r="C573" s="39"/>
      <c r="D573" s="38"/>
      <c r="E573" s="42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41"/>
      <c r="S573" s="38"/>
      <c r="T573" s="38"/>
      <c r="U573" s="38"/>
      <c r="V573" s="39"/>
      <c r="W573" s="38"/>
      <c r="X573" s="42"/>
      <c r="Y573" s="39"/>
      <c r="Z573" s="39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</row>
    <row r="574" ht="16.5" customHeight="1">
      <c r="A574" s="38"/>
      <c r="B574" s="38"/>
      <c r="C574" s="39"/>
      <c r="D574" s="38"/>
      <c r="E574" s="42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41"/>
      <c r="S574" s="38"/>
      <c r="T574" s="38"/>
      <c r="U574" s="38"/>
      <c r="V574" s="39"/>
      <c r="W574" s="38"/>
      <c r="X574" s="42"/>
      <c r="Y574" s="39"/>
      <c r="Z574" s="39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</row>
    <row r="575" ht="16.5" customHeight="1">
      <c r="A575" s="38"/>
      <c r="B575" s="38"/>
      <c r="C575" s="39"/>
      <c r="D575" s="38"/>
      <c r="E575" s="42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41"/>
      <c r="S575" s="38"/>
      <c r="T575" s="38"/>
      <c r="U575" s="38"/>
      <c r="V575" s="39"/>
      <c r="W575" s="38"/>
      <c r="X575" s="42"/>
      <c r="Y575" s="39"/>
      <c r="Z575" s="39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</row>
    <row r="576" ht="16.5" customHeight="1">
      <c r="A576" s="38"/>
      <c r="B576" s="38"/>
      <c r="C576" s="39"/>
      <c r="D576" s="38"/>
      <c r="E576" s="42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41"/>
      <c r="S576" s="38"/>
      <c r="T576" s="38"/>
      <c r="U576" s="38"/>
      <c r="V576" s="39"/>
      <c r="W576" s="38"/>
      <c r="X576" s="42"/>
      <c r="Y576" s="39"/>
      <c r="Z576" s="39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</row>
    <row r="577" ht="16.5" customHeight="1">
      <c r="A577" s="38"/>
      <c r="B577" s="38"/>
      <c r="C577" s="39"/>
      <c r="D577" s="38"/>
      <c r="E577" s="42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41"/>
      <c r="S577" s="38"/>
      <c r="T577" s="38"/>
      <c r="U577" s="38"/>
      <c r="V577" s="39"/>
      <c r="W577" s="38"/>
      <c r="X577" s="42"/>
      <c r="Y577" s="39"/>
      <c r="Z577" s="39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</row>
    <row r="578" ht="16.5" customHeight="1">
      <c r="A578" s="38"/>
      <c r="B578" s="38"/>
      <c r="C578" s="39"/>
      <c r="D578" s="38"/>
      <c r="E578" s="42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41"/>
      <c r="S578" s="38"/>
      <c r="T578" s="38"/>
      <c r="U578" s="38"/>
      <c r="V578" s="39"/>
      <c r="W578" s="38"/>
      <c r="X578" s="42"/>
      <c r="Y578" s="39"/>
      <c r="Z578" s="39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</row>
    <row r="579" ht="16.5" customHeight="1">
      <c r="A579" s="38"/>
      <c r="B579" s="38"/>
      <c r="C579" s="39"/>
      <c r="D579" s="38"/>
      <c r="E579" s="42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41"/>
      <c r="S579" s="38"/>
      <c r="T579" s="38"/>
      <c r="U579" s="38"/>
      <c r="V579" s="39"/>
      <c r="W579" s="38"/>
      <c r="X579" s="42"/>
      <c r="Y579" s="39"/>
      <c r="Z579" s="39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</row>
    <row r="580" ht="16.5" customHeight="1">
      <c r="A580" s="38"/>
      <c r="B580" s="38"/>
      <c r="C580" s="39"/>
      <c r="D580" s="38"/>
      <c r="E580" s="42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41"/>
      <c r="S580" s="38"/>
      <c r="T580" s="38"/>
      <c r="U580" s="38"/>
      <c r="V580" s="39"/>
      <c r="W580" s="38"/>
      <c r="X580" s="42"/>
      <c r="Y580" s="39"/>
      <c r="Z580" s="39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</row>
    <row r="581" ht="16.5" customHeight="1">
      <c r="A581" s="38"/>
      <c r="B581" s="38"/>
      <c r="C581" s="39"/>
      <c r="D581" s="38"/>
      <c r="E581" s="42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41"/>
      <c r="S581" s="38"/>
      <c r="T581" s="38"/>
      <c r="U581" s="38"/>
      <c r="V581" s="39"/>
      <c r="W581" s="38"/>
      <c r="X581" s="42"/>
      <c r="Y581" s="39"/>
      <c r="Z581" s="39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</row>
    <row r="582" ht="16.5" customHeight="1">
      <c r="A582" s="38"/>
      <c r="B582" s="38"/>
      <c r="C582" s="39"/>
      <c r="D582" s="38"/>
      <c r="E582" s="42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41"/>
      <c r="S582" s="38"/>
      <c r="T582" s="38"/>
      <c r="U582" s="38"/>
      <c r="V582" s="39"/>
      <c r="W582" s="38"/>
      <c r="X582" s="42"/>
      <c r="Y582" s="39"/>
      <c r="Z582" s="39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</row>
    <row r="583" ht="16.5" customHeight="1">
      <c r="A583" s="38"/>
      <c r="B583" s="38"/>
      <c r="C583" s="39"/>
      <c r="D583" s="38"/>
      <c r="E583" s="42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41"/>
      <c r="S583" s="38"/>
      <c r="T583" s="38"/>
      <c r="U583" s="38"/>
      <c r="V583" s="39"/>
      <c r="W583" s="38"/>
      <c r="X583" s="42"/>
      <c r="Y583" s="39"/>
      <c r="Z583" s="39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</row>
    <row r="584" ht="16.5" customHeight="1">
      <c r="A584" s="38"/>
      <c r="B584" s="38"/>
      <c r="C584" s="39"/>
      <c r="D584" s="38"/>
      <c r="E584" s="42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41"/>
      <c r="S584" s="38"/>
      <c r="T584" s="38"/>
      <c r="U584" s="38"/>
      <c r="V584" s="39"/>
      <c r="W584" s="38"/>
      <c r="X584" s="42"/>
      <c r="Y584" s="39"/>
      <c r="Z584" s="39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</row>
    <row r="585" ht="16.5" customHeight="1">
      <c r="A585" s="38"/>
      <c r="B585" s="38"/>
      <c r="C585" s="39"/>
      <c r="D585" s="38"/>
      <c r="E585" s="42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41"/>
      <c r="S585" s="38"/>
      <c r="T585" s="38"/>
      <c r="U585" s="38"/>
      <c r="V585" s="39"/>
      <c r="W585" s="38"/>
      <c r="X585" s="42"/>
      <c r="Y585" s="39"/>
      <c r="Z585" s="39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</row>
    <row r="586" ht="16.5" customHeight="1">
      <c r="A586" s="38"/>
      <c r="B586" s="38"/>
      <c r="C586" s="39"/>
      <c r="D586" s="38"/>
      <c r="E586" s="42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41"/>
      <c r="S586" s="38"/>
      <c r="T586" s="38"/>
      <c r="U586" s="38"/>
      <c r="V586" s="39"/>
      <c r="W586" s="38"/>
      <c r="X586" s="42"/>
      <c r="Y586" s="39"/>
      <c r="Z586" s="39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</row>
    <row r="587" ht="16.5" customHeight="1">
      <c r="A587" s="38"/>
      <c r="B587" s="38"/>
      <c r="C587" s="39"/>
      <c r="D587" s="38"/>
      <c r="E587" s="42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41"/>
      <c r="S587" s="38"/>
      <c r="T587" s="38"/>
      <c r="U587" s="38"/>
      <c r="V587" s="39"/>
      <c r="W587" s="38"/>
      <c r="X587" s="42"/>
      <c r="Y587" s="39"/>
      <c r="Z587" s="39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</row>
    <row r="588" ht="16.5" customHeight="1">
      <c r="A588" s="38"/>
      <c r="B588" s="38"/>
      <c r="C588" s="39"/>
      <c r="D588" s="38"/>
      <c r="E588" s="42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41"/>
      <c r="S588" s="38"/>
      <c r="T588" s="38"/>
      <c r="U588" s="38"/>
      <c r="V588" s="39"/>
      <c r="W588" s="38"/>
      <c r="X588" s="42"/>
      <c r="Y588" s="39"/>
      <c r="Z588" s="39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</row>
    <row r="589" ht="16.5" customHeight="1">
      <c r="A589" s="38"/>
      <c r="B589" s="38"/>
      <c r="C589" s="39"/>
      <c r="D589" s="38"/>
      <c r="E589" s="42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41"/>
      <c r="S589" s="38"/>
      <c r="T589" s="38"/>
      <c r="U589" s="38"/>
      <c r="V589" s="39"/>
      <c r="W589" s="38"/>
      <c r="X589" s="42"/>
      <c r="Y589" s="39"/>
      <c r="Z589" s="39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</row>
    <row r="590" ht="16.5" customHeight="1">
      <c r="A590" s="38"/>
      <c r="B590" s="38"/>
      <c r="C590" s="39"/>
      <c r="D590" s="38"/>
      <c r="E590" s="42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41"/>
      <c r="S590" s="38"/>
      <c r="T590" s="38"/>
      <c r="U590" s="38"/>
      <c r="V590" s="39"/>
      <c r="W590" s="38"/>
      <c r="X590" s="42"/>
      <c r="Y590" s="39"/>
      <c r="Z590" s="39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</row>
    <row r="591" ht="16.5" customHeight="1">
      <c r="A591" s="38"/>
      <c r="B591" s="38"/>
      <c r="C591" s="39"/>
      <c r="D591" s="38"/>
      <c r="E591" s="42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41"/>
      <c r="S591" s="38"/>
      <c r="T591" s="38"/>
      <c r="U591" s="38"/>
      <c r="V591" s="39"/>
      <c r="W591" s="38"/>
      <c r="X591" s="42"/>
      <c r="Y591" s="39"/>
      <c r="Z591" s="39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</row>
    <row r="592" ht="16.5" customHeight="1">
      <c r="A592" s="38"/>
      <c r="B592" s="38"/>
      <c r="C592" s="39"/>
      <c r="D592" s="38"/>
      <c r="E592" s="42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41"/>
      <c r="S592" s="38"/>
      <c r="T592" s="38"/>
      <c r="U592" s="38"/>
      <c r="V592" s="39"/>
      <c r="W592" s="38"/>
      <c r="X592" s="42"/>
      <c r="Y592" s="39"/>
      <c r="Z592" s="39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</row>
    <row r="593" ht="16.5" customHeight="1">
      <c r="A593" s="38"/>
      <c r="B593" s="38"/>
      <c r="C593" s="39"/>
      <c r="D593" s="38"/>
      <c r="E593" s="42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41"/>
      <c r="S593" s="38"/>
      <c r="T593" s="38"/>
      <c r="U593" s="38"/>
      <c r="V593" s="39"/>
      <c r="W593" s="38"/>
      <c r="X593" s="42"/>
      <c r="Y593" s="39"/>
      <c r="Z593" s="39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</row>
    <row r="594" ht="16.5" customHeight="1">
      <c r="A594" s="38"/>
      <c r="B594" s="38"/>
      <c r="C594" s="39"/>
      <c r="D594" s="38"/>
      <c r="E594" s="42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41"/>
      <c r="S594" s="38"/>
      <c r="T594" s="38"/>
      <c r="U594" s="38"/>
      <c r="V594" s="39"/>
      <c r="W594" s="38"/>
      <c r="X594" s="42"/>
      <c r="Y594" s="39"/>
      <c r="Z594" s="39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</row>
    <row r="595" ht="16.5" customHeight="1">
      <c r="A595" s="38"/>
      <c r="B595" s="38"/>
      <c r="C595" s="39"/>
      <c r="D595" s="38"/>
      <c r="E595" s="42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41"/>
      <c r="S595" s="38"/>
      <c r="T595" s="38"/>
      <c r="U595" s="38"/>
      <c r="V595" s="39"/>
      <c r="W595" s="38"/>
      <c r="X595" s="42"/>
      <c r="Y595" s="39"/>
      <c r="Z595" s="39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</row>
    <row r="596" ht="16.5" customHeight="1">
      <c r="A596" s="38"/>
      <c r="B596" s="38"/>
      <c r="C596" s="39"/>
      <c r="D596" s="38"/>
      <c r="E596" s="42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41"/>
      <c r="S596" s="38"/>
      <c r="T596" s="38"/>
      <c r="U596" s="38"/>
      <c r="V596" s="39"/>
      <c r="W596" s="38"/>
      <c r="X596" s="42"/>
      <c r="Y596" s="39"/>
      <c r="Z596" s="39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</row>
    <row r="597" ht="16.5" customHeight="1">
      <c r="A597" s="38"/>
      <c r="B597" s="38"/>
      <c r="C597" s="39"/>
      <c r="D597" s="38"/>
      <c r="E597" s="42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41"/>
      <c r="S597" s="38"/>
      <c r="T597" s="38"/>
      <c r="U597" s="38"/>
      <c r="V597" s="39"/>
      <c r="W597" s="38"/>
      <c r="X597" s="42"/>
      <c r="Y597" s="39"/>
      <c r="Z597" s="39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</row>
    <row r="598" ht="16.5" customHeight="1">
      <c r="A598" s="38"/>
      <c r="B598" s="38"/>
      <c r="C598" s="39"/>
      <c r="D598" s="38"/>
      <c r="E598" s="42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41"/>
      <c r="S598" s="38"/>
      <c r="T598" s="38"/>
      <c r="U598" s="38"/>
      <c r="V598" s="39"/>
      <c r="W598" s="38"/>
      <c r="X598" s="42"/>
      <c r="Y598" s="39"/>
      <c r="Z598" s="39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</row>
    <row r="599" ht="16.5" customHeight="1">
      <c r="A599" s="38"/>
      <c r="B599" s="38"/>
      <c r="C599" s="39"/>
      <c r="D599" s="38"/>
      <c r="E599" s="42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41"/>
      <c r="S599" s="38"/>
      <c r="T599" s="38"/>
      <c r="U599" s="38"/>
      <c r="V599" s="39"/>
      <c r="W599" s="38"/>
      <c r="X599" s="42"/>
      <c r="Y599" s="39"/>
      <c r="Z599" s="39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</row>
    <row r="600" ht="16.5" customHeight="1">
      <c r="A600" s="38"/>
      <c r="B600" s="38"/>
      <c r="C600" s="39"/>
      <c r="D600" s="38"/>
      <c r="E600" s="42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41"/>
      <c r="S600" s="38"/>
      <c r="T600" s="38"/>
      <c r="U600" s="38"/>
      <c r="V600" s="39"/>
      <c r="W600" s="38"/>
      <c r="X600" s="42"/>
      <c r="Y600" s="39"/>
      <c r="Z600" s="39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</row>
    <row r="601" ht="16.5" customHeight="1">
      <c r="A601" s="38"/>
      <c r="B601" s="38"/>
      <c r="C601" s="39"/>
      <c r="D601" s="38"/>
      <c r="E601" s="42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41"/>
      <c r="S601" s="38"/>
      <c r="T601" s="38"/>
      <c r="U601" s="38"/>
      <c r="V601" s="39"/>
      <c r="W601" s="38"/>
      <c r="X601" s="42"/>
      <c r="Y601" s="39"/>
      <c r="Z601" s="39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</row>
    <row r="602" ht="16.5" customHeight="1">
      <c r="A602" s="38"/>
      <c r="B602" s="38"/>
      <c r="C602" s="39"/>
      <c r="D602" s="38"/>
      <c r="E602" s="42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41"/>
      <c r="S602" s="38"/>
      <c r="T602" s="38"/>
      <c r="U602" s="38"/>
      <c r="V602" s="39"/>
      <c r="W602" s="38"/>
      <c r="X602" s="42"/>
      <c r="Y602" s="39"/>
      <c r="Z602" s="39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</row>
    <row r="603" ht="16.5" customHeight="1">
      <c r="A603" s="38"/>
      <c r="B603" s="38"/>
      <c r="C603" s="39"/>
      <c r="D603" s="38"/>
      <c r="E603" s="42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41"/>
      <c r="S603" s="38"/>
      <c r="T603" s="38"/>
      <c r="U603" s="38"/>
      <c r="V603" s="39"/>
      <c r="W603" s="38"/>
      <c r="X603" s="42"/>
      <c r="Y603" s="39"/>
      <c r="Z603" s="39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</row>
    <row r="604" ht="16.5" customHeight="1">
      <c r="A604" s="38"/>
      <c r="B604" s="38"/>
      <c r="C604" s="39"/>
      <c r="D604" s="38"/>
      <c r="E604" s="42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41"/>
      <c r="S604" s="38"/>
      <c r="T604" s="38"/>
      <c r="U604" s="38"/>
      <c r="V604" s="39"/>
      <c r="W604" s="38"/>
      <c r="X604" s="42"/>
      <c r="Y604" s="39"/>
      <c r="Z604" s="39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</row>
    <row r="605" ht="16.5" customHeight="1">
      <c r="A605" s="38"/>
      <c r="B605" s="38"/>
      <c r="C605" s="39"/>
      <c r="D605" s="38"/>
      <c r="E605" s="42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41"/>
      <c r="S605" s="38"/>
      <c r="T605" s="38"/>
      <c r="U605" s="38"/>
      <c r="V605" s="39"/>
      <c r="W605" s="38"/>
      <c r="X605" s="42"/>
      <c r="Y605" s="39"/>
      <c r="Z605" s="39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</row>
    <row r="606" ht="16.5" customHeight="1">
      <c r="A606" s="38"/>
      <c r="B606" s="38"/>
      <c r="C606" s="39"/>
      <c r="D606" s="38"/>
      <c r="E606" s="42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41"/>
      <c r="S606" s="38"/>
      <c r="T606" s="38"/>
      <c r="U606" s="38"/>
      <c r="V606" s="39"/>
      <c r="W606" s="38"/>
      <c r="X606" s="42"/>
      <c r="Y606" s="39"/>
      <c r="Z606" s="39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</row>
    <row r="607" ht="16.5" customHeight="1">
      <c r="A607" s="38"/>
      <c r="B607" s="38"/>
      <c r="C607" s="39"/>
      <c r="D607" s="38"/>
      <c r="E607" s="42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41"/>
      <c r="S607" s="38"/>
      <c r="T607" s="38"/>
      <c r="U607" s="38"/>
      <c r="V607" s="39"/>
      <c r="W607" s="38"/>
      <c r="X607" s="42"/>
      <c r="Y607" s="39"/>
      <c r="Z607" s="39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</row>
    <row r="608" ht="16.5" customHeight="1">
      <c r="A608" s="38"/>
      <c r="B608" s="38"/>
      <c r="C608" s="39"/>
      <c r="D608" s="38"/>
      <c r="E608" s="42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41"/>
      <c r="S608" s="38"/>
      <c r="T608" s="38"/>
      <c r="U608" s="38"/>
      <c r="V608" s="39"/>
      <c r="W608" s="38"/>
      <c r="X608" s="42"/>
      <c r="Y608" s="39"/>
      <c r="Z608" s="39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</row>
    <row r="609" ht="16.5" customHeight="1">
      <c r="A609" s="38"/>
      <c r="B609" s="38"/>
      <c r="C609" s="39"/>
      <c r="D609" s="38"/>
      <c r="E609" s="42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41"/>
      <c r="S609" s="38"/>
      <c r="T609" s="38"/>
      <c r="U609" s="38"/>
      <c r="V609" s="39"/>
      <c r="W609" s="38"/>
      <c r="X609" s="42"/>
      <c r="Y609" s="39"/>
      <c r="Z609" s="39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</row>
    <row r="610" ht="16.5" customHeight="1">
      <c r="A610" s="38"/>
      <c r="B610" s="38"/>
      <c r="C610" s="39"/>
      <c r="D610" s="38"/>
      <c r="E610" s="42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41"/>
      <c r="S610" s="38"/>
      <c r="T610" s="38"/>
      <c r="U610" s="38"/>
      <c r="V610" s="39"/>
      <c r="W610" s="38"/>
      <c r="X610" s="42"/>
      <c r="Y610" s="39"/>
      <c r="Z610" s="39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</row>
    <row r="611" ht="16.5" customHeight="1">
      <c r="A611" s="38"/>
      <c r="B611" s="38"/>
      <c r="C611" s="39"/>
      <c r="D611" s="38"/>
      <c r="E611" s="42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41"/>
      <c r="S611" s="38"/>
      <c r="T611" s="38"/>
      <c r="U611" s="38"/>
      <c r="V611" s="39"/>
      <c r="W611" s="38"/>
      <c r="X611" s="42"/>
      <c r="Y611" s="39"/>
      <c r="Z611" s="39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</row>
    <row r="612" ht="16.5" customHeight="1">
      <c r="A612" s="38"/>
      <c r="B612" s="38"/>
      <c r="C612" s="39"/>
      <c r="D612" s="38"/>
      <c r="E612" s="42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41"/>
      <c r="S612" s="38"/>
      <c r="T612" s="38"/>
      <c r="U612" s="38"/>
      <c r="V612" s="39"/>
      <c r="W612" s="38"/>
      <c r="X612" s="42"/>
      <c r="Y612" s="39"/>
      <c r="Z612" s="39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</row>
    <row r="613" ht="16.5" customHeight="1">
      <c r="A613" s="38"/>
      <c r="B613" s="38"/>
      <c r="C613" s="39"/>
      <c r="D613" s="38"/>
      <c r="E613" s="42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41"/>
      <c r="S613" s="38"/>
      <c r="T613" s="38"/>
      <c r="U613" s="38"/>
      <c r="V613" s="39"/>
      <c r="W613" s="38"/>
      <c r="X613" s="42"/>
      <c r="Y613" s="39"/>
      <c r="Z613" s="39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</row>
    <row r="614" ht="16.5" customHeight="1">
      <c r="A614" s="38"/>
      <c r="B614" s="38"/>
      <c r="C614" s="39"/>
      <c r="D614" s="38"/>
      <c r="E614" s="42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41"/>
      <c r="S614" s="38"/>
      <c r="T614" s="38"/>
      <c r="U614" s="38"/>
      <c r="V614" s="39"/>
      <c r="W614" s="38"/>
      <c r="X614" s="42"/>
      <c r="Y614" s="39"/>
      <c r="Z614" s="39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</row>
    <row r="615" ht="16.5" customHeight="1">
      <c r="A615" s="38"/>
      <c r="B615" s="38"/>
      <c r="C615" s="39"/>
      <c r="D615" s="38"/>
      <c r="E615" s="42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41"/>
      <c r="S615" s="38"/>
      <c r="T615" s="38"/>
      <c r="U615" s="38"/>
      <c r="V615" s="39"/>
      <c r="W615" s="38"/>
      <c r="X615" s="42"/>
      <c r="Y615" s="39"/>
      <c r="Z615" s="39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</row>
    <row r="616" ht="16.5" customHeight="1">
      <c r="A616" s="38"/>
      <c r="B616" s="38"/>
      <c r="C616" s="39"/>
      <c r="D616" s="38"/>
      <c r="E616" s="42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41"/>
      <c r="S616" s="38"/>
      <c r="T616" s="38"/>
      <c r="U616" s="38"/>
      <c r="V616" s="39"/>
      <c r="W616" s="38"/>
      <c r="X616" s="42"/>
      <c r="Y616" s="39"/>
      <c r="Z616" s="39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</row>
    <row r="617" ht="16.5" customHeight="1">
      <c r="A617" s="38"/>
      <c r="B617" s="38"/>
      <c r="C617" s="39"/>
      <c r="D617" s="38"/>
      <c r="E617" s="42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41"/>
      <c r="S617" s="38"/>
      <c r="T617" s="38"/>
      <c r="U617" s="38"/>
      <c r="V617" s="39"/>
      <c r="W617" s="38"/>
      <c r="X617" s="42"/>
      <c r="Y617" s="39"/>
      <c r="Z617" s="39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</row>
    <row r="618" ht="16.5" customHeight="1">
      <c r="A618" s="38"/>
      <c r="B618" s="38"/>
      <c r="C618" s="39"/>
      <c r="D618" s="38"/>
      <c r="E618" s="42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41"/>
      <c r="S618" s="38"/>
      <c r="T618" s="38"/>
      <c r="U618" s="38"/>
      <c r="V618" s="39"/>
      <c r="W618" s="38"/>
      <c r="X618" s="42"/>
      <c r="Y618" s="39"/>
      <c r="Z618" s="39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</row>
    <row r="619" ht="16.5" customHeight="1">
      <c r="A619" s="38"/>
      <c r="B619" s="38"/>
      <c r="C619" s="39"/>
      <c r="D619" s="38"/>
      <c r="E619" s="42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41"/>
      <c r="S619" s="38"/>
      <c r="T619" s="38"/>
      <c r="U619" s="38"/>
      <c r="V619" s="39"/>
      <c r="W619" s="38"/>
      <c r="X619" s="42"/>
      <c r="Y619" s="39"/>
      <c r="Z619" s="39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</row>
    <row r="620" ht="16.5" customHeight="1">
      <c r="A620" s="38"/>
      <c r="B620" s="38"/>
      <c r="C620" s="39"/>
      <c r="D620" s="38"/>
      <c r="E620" s="42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41"/>
      <c r="S620" s="38"/>
      <c r="T620" s="38"/>
      <c r="U620" s="38"/>
      <c r="V620" s="39"/>
      <c r="W620" s="38"/>
      <c r="X620" s="42"/>
      <c r="Y620" s="39"/>
      <c r="Z620" s="39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</row>
    <row r="621" ht="16.5" customHeight="1">
      <c r="A621" s="38"/>
      <c r="B621" s="38"/>
      <c r="C621" s="39"/>
      <c r="D621" s="38"/>
      <c r="E621" s="42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41"/>
      <c r="S621" s="38"/>
      <c r="T621" s="38"/>
      <c r="U621" s="38"/>
      <c r="V621" s="39"/>
      <c r="W621" s="38"/>
      <c r="X621" s="42"/>
      <c r="Y621" s="39"/>
      <c r="Z621" s="39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</row>
    <row r="622" ht="16.5" customHeight="1">
      <c r="A622" s="38"/>
      <c r="B622" s="38"/>
      <c r="C622" s="39"/>
      <c r="D622" s="38"/>
      <c r="E622" s="42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41"/>
      <c r="S622" s="38"/>
      <c r="T622" s="38"/>
      <c r="U622" s="38"/>
      <c r="V622" s="39"/>
      <c r="W622" s="38"/>
      <c r="X622" s="42"/>
      <c r="Y622" s="39"/>
      <c r="Z622" s="39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</row>
    <row r="623" ht="16.5" customHeight="1">
      <c r="A623" s="38"/>
      <c r="B623" s="38"/>
      <c r="C623" s="39"/>
      <c r="D623" s="38"/>
      <c r="E623" s="42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41"/>
      <c r="S623" s="38"/>
      <c r="T623" s="38"/>
      <c r="U623" s="38"/>
      <c r="V623" s="39"/>
      <c r="W623" s="38"/>
      <c r="X623" s="42"/>
      <c r="Y623" s="39"/>
      <c r="Z623" s="39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</row>
    <row r="624" ht="16.5" customHeight="1">
      <c r="A624" s="38"/>
      <c r="B624" s="38"/>
      <c r="C624" s="39"/>
      <c r="D624" s="38"/>
      <c r="E624" s="42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41"/>
      <c r="S624" s="38"/>
      <c r="T624" s="38"/>
      <c r="U624" s="38"/>
      <c r="V624" s="39"/>
      <c r="W624" s="38"/>
      <c r="X624" s="42"/>
      <c r="Y624" s="39"/>
      <c r="Z624" s="39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</row>
    <row r="625" ht="16.5" customHeight="1">
      <c r="A625" s="38"/>
      <c r="B625" s="38"/>
      <c r="C625" s="39"/>
      <c r="D625" s="38"/>
      <c r="E625" s="42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41"/>
      <c r="S625" s="38"/>
      <c r="T625" s="38"/>
      <c r="U625" s="38"/>
      <c r="V625" s="39"/>
      <c r="W625" s="38"/>
      <c r="X625" s="42"/>
      <c r="Y625" s="39"/>
      <c r="Z625" s="39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</row>
    <row r="626" ht="16.5" customHeight="1">
      <c r="A626" s="38"/>
      <c r="B626" s="38"/>
      <c r="C626" s="39"/>
      <c r="D626" s="38"/>
      <c r="E626" s="42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41"/>
      <c r="S626" s="38"/>
      <c r="T626" s="38"/>
      <c r="U626" s="38"/>
      <c r="V626" s="39"/>
      <c r="W626" s="38"/>
      <c r="X626" s="42"/>
      <c r="Y626" s="39"/>
      <c r="Z626" s="39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</row>
    <row r="627" ht="16.5" customHeight="1">
      <c r="A627" s="38"/>
      <c r="B627" s="38"/>
      <c r="C627" s="39"/>
      <c r="D627" s="38"/>
      <c r="E627" s="42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41"/>
      <c r="S627" s="38"/>
      <c r="T627" s="38"/>
      <c r="U627" s="38"/>
      <c r="V627" s="39"/>
      <c r="W627" s="38"/>
      <c r="X627" s="42"/>
      <c r="Y627" s="39"/>
      <c r="Z627" s="39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</row>
    <row r="628" ht="16.5" customHeight="1">
      <c r="A628" s="38"/>
      <c r="B628" s="38"/>
      <c r="C628" s="39"/>
      <c r="D628" s="38"/>
      <c r="E628" s="42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41"/>
      <c r="S628" s="38"/>
      <c r="T628" s="38"/>
      <c r="U628" s="38"/>
      <c r="V628" s="39"/>
      <c r="W628" s="38"/>
      <c r="X628" s="42"/>
      <c r="Y628" s="39"/>
      <c r="Z628" s="39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</row>
    <row r="629" ht="16.5" customHeight="1">
      <c r="A629" s="38"/>
      <c r="B629" s="38"/>
      <c r="C629" s="39"/>
      <c r="D629" s="38"/>
      <c r="E629" s="42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41"/>
      <c r="S629" s="38"/>
      <c r="T629" s="38"/>
      <c r="U629" s="38"/>
      <c r="V629" s="39"/>
      <c r="W629" s="38"/>
      <c r="X629" s="42"/>
      <c r="Y629" s="39"/>
      <c r="Z629" s="39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</row>
    <row r="630" ht="16.5" customHeight="1">
      <c r="A630" s="38"/>
      <c r="B630" s="38"/>
      <c r="C630" s="39"/>
      <c r="D630" s="38"/>
      <c r="E630" s="42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41"/>
      <c r="S630" s="38"/>
      <c r="T630" s="38"/>
      <c r="U630" s="38"/>
      <c r="V630" s="39"/>
      <c r="W630" s="38"/>
      <c r="X630" s="42"/>
      <c r="Y630" s="39"/>
      <c r="Z630" s="39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</row>
    <row r="631" ht="16.5" customHeight="1">
      <c r="A631" s="38"/>
      <c r="B631" s="38"/>
      <c r="C631" s="39"/>
      <c r="D631" s="38"/>
      <c r="E631" s="42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41"/>
      <c r="S631" s="38"/>
      <c r="T631" s="38"/>
      <c r="U631" s="38"/>
      <c r="V631" s="39"/>
      <c r="W631" s="38"/>
      <c r="X631" s="42"/>
      <c r="Y631" s="39"/>
      <c r="Z631" s="39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</row>
    <row r="632" ht="16.5" customHeight="1">
      <c r="A632" s="38"/>
      <c r="B632" s="38"/>
      <c r="C632" s="39"/>
      <c r="D632" s="38"/>
      <c r="E632" s="42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41"/>
      <c r="S632" s="38"/>
      <c r="T632" s="38"/>
      <c r="U632" s="38"/>
      <c r="V632" s="39"/>
      <c r="W632" s="38"/>
      <c r="X632" s="42"/>
      <c r="Y632" s="39"/>
      <c r="Z632" s="39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</row>
    <row r="633" ht="16.5" customHeight="1">
      <c r="A633" s="38"/>
      <c r="B633" s="38"/>
      <c r="C633" s="39"/>
      <c r="D633" s="38"/>
      <c r="E633" s="42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41"/>
      <c r="S633" s="38"/>
      <c r="T633" s="38"/>
      <c r="U633" s="38"/>
      <c r="V633" s="39"/>
      <c r="W633" s="38"/>
      <c r="X633" s="42"/>
      <c r="Y633" s="39"/>
      <c r="Z633" s="39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</row>
    <row r="634" ht="16.5" customHeight="1">
      <c r="A634" s="38"/>
      <c r="B634" s="38"/>
      <c r="C634" s="39"/>
      <c r="D634" s="38"/>
      <c r="E634" s="42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41"/>
      <c r="S634" s="38"/>
      <c r="T634" s="38"/>
      <c r="U634" s="38"/>
      <c r="V634" s="39"/>
      <c r="W634" s="38"/>
      <c r="X634" s="42"/>
      <c r="Y634" s="39"/>
      <c r="Z634" s="39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</row>
    <row r="635" ht="16.5" customHeight="1">
      <c r="A635" s="38"/>
      <c r="B635" s="38"/>
      <c r="C635" s="39"/>
      <c r="D635" s="38"/>
      <c r="E635" s="42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41"/>
      <c r="S635" s="38"/>
      <c r="T635" s="38"/>
      <c r="U635" s="38"/>
      <c r="V635" s="39"/>
      <c r="W635" s="38"/>
      <c r="X635" s="42"/>
      <c r="Y635" s="39"/>
      <c r="Z635" s="39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</row>
    <row r="636" ht="16.5" customHeight="1">
      <c r="A636" s="38"/>
      <c r="B636" s="38"/>
      <c r="C636" s="39"/>
      <c r="D636" s="38"/>
      <c r="E636" s="42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41"/>
      <c r="S636" s="38"/>
      <c r="T636" s="38"/>
      <c r="U636" s="38"/>
      <c r="V636" s="39"/>
      <c r="W636" s="38"/>
      <c r="X636" s="42"/>
      <c r="Y636" s="39"/>
      <c r="Z636" s="39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</row>
    <row r="637" ht="16.5" customHeight="1">
      <c r="A637" s="38"/>
      <c r="B637" s="38"/>
      <c r="C637" s="39"/>
      <c r="D637" s="38"/>
      <c r="E637" s="42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41"/>
      <c r="S637" s="38"/>
      <c r="T637" s="38"/>
      <c r="U637" s="38"/>
      <c r="V637" s="39"/>
      <c r="W637" s="38"/>
      <c r="X637" s="42"/>
      <c r="Y637" s="39"/>
      <c r="Z637" s="39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</row>
    <row r="638" ht="16.5" customHeight="1">
      <c r="A638" s="38"/>
      <c r="B638" s="38"/>
      <c r="C638" s="39"/>
      <c r="D638" s="38"/>
      <c r="E638" s="42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41"/>
      <c r="S638" s="38"/>
      <c r="T638" s="38"/>
      <c r="U638" s="38"/>
      <c r="V638" s="39"/>
      <c r="W638" s="38"/>
      <c r="X638" s="42"/>
      <c r="Y638" s="39"/>
      <c r="Z638" s="39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</row>
    <row r="639" ht="16.5" customHeight="1">
      <c r="A639" s="38"/>
      <c r="B639" s="38"/>
      <c r="C639" s="39"/>
      <c r="D639" s="38"/>
      <c r="E639" s="42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41"/>
      <c r="S639" s="38"/>
      <c r="T639" s="38"/>
      <c r="U639" s="38"/>
      <c r="V639" s="39"/>
      <c r="W639" s="38"/>
      <c r="X639" s="42"/>
      <c r="Y639" s="39"/>
      <c r="Z639" s="39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</row>
    <row r="640" ht="16.5" customHeight="1">
      <c r="A640" s="38"/>
      <c r="B640" s="38"/>
      <c r="C640" s="39"/>
      <c r="D640" s="38"/>
      <c r="E640" s="42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41"/>
      <c r="S640" s="38"/>
      <c r="T640" s="38"/>
      <c r="U640" s="38"/>
      <c r="V640" s="39"/>
      <c r="W640" s="38"/>
      <c r="X640" s="42"/>
      <c r="Y640" s="39"/>
      <c r="Z640" s="39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</row>
    <row r="641" ht="16.5" customHeight="1">
      <c r="A641" s="38"/>
      <c r="B641" s="38"/>
      <c r="C641" s="39"/>
      <c r="D641" s="38"/>
      <c r="E641" s="42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41"/>
      <c r="S641" s="38"/>
      <c r="T641" s="38"/>
      <c r="U641" s="38"/>
      <c r="V641" s="39"/>
      <c r="W641" s="38"/>
      <c r="X641" s="42"/>
      <c r="Y641" s="39"/>
      <c r="Z641" s="39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</row>
    <row r="642" ht="16.5" customHeight="1">
      <c r="A642" s="38"/>
      <c r="B642" s="38"/>
      <c r="C642" s="39"/>
      <c r="D642" s="38"/>
      <c r="E642" s="42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41"/>
      <c r="S642" s="38"/>
      <c r="T642" s="38"/>
      <c r="U642" s="38"/>
      <c r="V642" s="39"/>
      <c r="W642" s="38"/>
      <c r="X642" s="42"/>
      <c r="Y642" s="39"/>
      <c r="Z642" s="39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</row>
    <row r="643" ht="16.5" customHeight="1">
      <c r="A643" s="38"/>
      <c r="B643" s="38"/>
      <c r="C643" s="39"/>
      <c r="D643" s="38"/>
      <c r="E643" s="42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41"/>
      <c r="S643" s="38"/>
      <c r="T643" s="38"/>
      <c r="U643" s="38"/>
      <c r="V643" s="39"/>
      <c r="W643" s="38"/>
      <c r="X643" s="42"/>
      <c r="Y643" s="39"/>
      <c r="Z643" s="39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</row>
    <row r="644" ht="16.5" customHeight="1">
      <c r="A644" s="38"/>
      <c r="B644" s="38"/>
      <c r="C644" s="39"/>
      <c r="D644" s="38"/>
      <c r="E644" s="42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41"/>
      <c r="S644" s="38"/>
      <c r="T644" s="38"/>
      <c r="U644" s="38"/>
      <c r="V644" s="39"/>
      <c r="W644" s="38"/>
      <c r="X644" s="42"/>
      <c r="Y644" s="39"/>
      <c r="Z644" s="39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</row>
    <row r="645" ht="16.5" customHeight="1">
      <c r="A645" s="38"/>
      <c r="B645" s="38"/>
      <c r="C645" s="39"/>
      <c r="D645" s="38"/>
      <c r="E645" s="42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41"/>
      <c r="S645" s="38"/>
      <c r="T645" s="38"/>
      <c r="U645" s="38"/>
      <c r="V645" s="39"/>
      <c r="W645" s="38"/>
      <c r="X645" s="42"/>
      <c r="Y645" s="39"/>
      <c r="Z645" s="39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</row>
    <row r="646" ht="16.5" customHeight="1">
      <c r="A646" s="38"/>
      <c r="B646" s="38"/>
      <c r="C646" s="39"/>
      <c r="D646" s="38"/>
      <c r="E646" s="42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41"/>
      <c r="S646" s="38"/>
      <c r="T646" s="38"/>
      <c r="U646" s="38"/>
      <c r="V646" s="39"/>
      <c r="W646" s="38"/>
      <c r="X646" s="42"/>
      <c r="Y646" s="39"/>
      <c r="Z646" s="39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</row>
    <row r="647" ht="16.5" customHeight="1">
      <c r="A647" s="38"/>
      <c r="B647" s="38"/>
      <c r="C647" s="39"/>
      <c r="D647" s="38"/>
      <c r="E647" s="42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41"/>
      <c r="S647" s="38"/>
      <c r="T647" s="38"/>
      <c r="U647" s="38"/>
      <c r="V647" s="39"/>
      <c r="W647" s="38"/>
      <c r="X647" s="42"/>
      <c r="Y647" s="39"/>
      <c r="Z647" s="39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</row>
    <row r="648" ht="16.5" customHeight="1">
      <c r="A648" s="38"/>
      <c r="B648" s="38"/>
      <c r="C648" s="39"/>
      <c r="D648" s="38"/>
      <c r="E648" s="42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41"/>
      <c r="S648" s="38"/>
      <c r="T648" s="38"/>
      <c r="U648" s="38"/>
      <c r="V648" s="39"/>
      <c r="W648" s="38"/>
      <c r="X648" s="42"/>
      <c r="Y648" s="39"/>
      <c r="Z648" s="39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</row>
    <row r="649" ht="16.5" customHeight="1">
      <c r="A649" s="38"/>
      <c r="B649" s="38"/>
      <c r="C649" s="39"/>
      <c r="D649" s="38"/>
      <c r="E649" s="42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41"/>
      <c r="S649" s="38"/>
      <c r="T649" s="38"/>
      <c r="U649" s="38"/>
      <c r="V649" s="39"/>
      <c r="W649" s="38"/>
      <c r="X649" s="42"/>
      <c r="Y649" s="39"/>
      <c r="Z649" s="39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</row>
    <row r="650" ht="16.5" customHeight="1">
      <c r="A650" s="38"/>
      <c r="B650" s="38"/>
      <c r="C650" s="39"/>
      <c r="D650" s="38"/>
      <c r="E650" s="42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41"/>
      <c r="S650" s="38"/>
      <c r="T650" s="38"/>
      <c r="U650" s="38"/>
      <c r="V650" s="39"/>
      <c r="W650" s="38"/>
      <c r="X650" s="42"/>
      <c r="Y650" s="39"/>
      <c r="Z650" s="39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</row>
    <row r="651" ht="16.5" customHeight="1">
      <c r="A651" s="38"/>
      <c r="B651" s="38"/>
      <c r="C651" s="39"/>
      <c r="D651" s="38"/>
      <c r="E651" s="42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41"/>
      <c r="S651" s="38"/>
      <c r="T651" s="38"/>
      <c r="U651" s="38"/>
      <c r="V651" s="39"/>
      <c r="W651" s="38"/>
      <c r="X651" s="42"/>
      <c r="Y651" s="39"/>
      <c r="Z651" s="39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</row>
    <row r="652" ht="16.5" customHeight="1">
      <c r="A652" s="38"/>
      <c r="B652" s="38"/>
      <c r="C652" s="39"/>
      <c r="D652" s="38"/>
      <c r="E652" s="42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41"/>
      <c r="S652" s="38"/>
      <c r="T652" s="38"/>
      <c r="U652" s="38"/>
      <c r="V652" s="39"/>
      <c r="W652" s="38"/>
      <c r="X652" s="42"/>
      <c r="Y652" s="39"/>
      <c r="Z652" s="39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</row>
    <row r="653" ht="16.5" customHeight="1">
      <c r="A653" s="38"/>
      <c r="B653" s="38"/>
      <c r="C653" s="39"/>
      <c r="D653" s="38"/>
      <c r="E653" s="42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41"/>
      <c r="S653" s="38"/>
      <c r="T653" s="38"/>
      <c r="U653" s="38"/>
      <c r="V653" s="39"/>
      <c r="W653" s="38"/>
      <c r="X653" s="42"/>
      <c r="Y653" s="39"/>
      <c r="Z653" s="39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</row>
    <row r="654" ht="16.5" customHeight="1">
      <c r="A654" s="38"/>
      <c r="B654" s="38"/>
      <c r="C654" s="39"/>
      <c r="D654" s="38"/>
      <c r="E654" s="42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41"/>
      <c r="S654" s="38"/>
      <c r="T654" s="38"/>
      <c r="U654" s="38"/>
      <c r="V654" s="39"/>
      <c r="W654" s="38"/>
      <c r="X654" s="42"/>
      <c r="Y654" s="39"/>
      <c r="Z654" s="39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</row>
    <row r="655" ht="16.5" customHeight="1">
      <c r="A655" s="38"/>
      <c r="B655" s="38"/>
      <c r="C655" s="39"/>
      <c r="D655" s="38"/>
      <c r="E655" s="42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41"/>
      <c r="S655" s="38"/>
      <c r="T655" s="38"/>
      <c r="U655" s="38"/>
      <c r="V655" s="39"/>
      <c r="W655" s="38"/>
      <c r="X655" s="42"/>
      <c r="Y655" s="39"/>
      <c r="Z655" s="39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</row>
    <row r="656" ht="16.5" customHeight="1">
      <c r="A656" s="38"/>
      <c r="B656" s="38"/>
      <c r="C656" s="39"/>
      <c r="D656" s="38"/>
      <c r="E656" s="42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41"/>
      <c r="S656" s="38"/>
      <c r="T656" s="38"/>
      <c r="U656" s="38"/>
      <c r="V656" s="39"/>
      <c r="W656" s="38"/>
      <c r="X656" s="42"/>
      <c r="Y656" s="39"/>
      <c r="Z656" s="39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</row>
    <row r="657" ht="16.5" customHeight="1">
      <c r="A657" s="38"/>
      <c r="B657" s="38"/>
      <c r="C657" s="39"/>
      <c r="D657" s="38"/>
      <c r="E657" s="42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41"/>
      <c r="S657" s="38"/>
      <c r="T657" s="38"/>
      <c r="U657" s="38"/>
      <c r="V657" s="39"/>
      <c r="W657" s="38"/>
      <c r="X657" s="42"/>
      <c r="Y657" s="39"/>
      <c r="Z657" s="39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</row>
    <row r="658" ht="16.5" customHeight="1">
      <c r="A658" s="38"/>
      <c r="B658" s="38"/>
      <c r="C658" s="39"/>
      <c r="D658" s="38"/>
      <c r="E658" s="42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41"/>
      <c r="S658" s="38"/>
      <c r="T658" s="38"/>
      <c r="U658" s="38"/>
      <c r="V658" s="39"/>
      <c r="W658" s="38"/>
      <c r="X658" s="42"/>
      <c r="Y658" s="39"/>
      <c r="Z658" s="39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</row>
    <row r="659" ht="16.5" customHeight="1">
      <c r="A659" s="38"/>
      <c r="B659" s="38"/>
      <c r="C659" s="39"/>
      <c r="D659" s="38"/>
      <c r="E659" s="42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41"/>
      <c r="S659" s="38"/>
      <c r="T659" s="38"/>
      <c r="U659" s="38"/>
      <c r="V659" s="39"/>
      <c r="W659" s="38"/>
      <c r="X659" s="42"/>
      <c r="Y659" s="39"/>
      <c r="Z659" s="39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</row>
    <row r="660" ht="16.5" customHeight="1">
      <c r="A660" s="38"/>
      <c r="B660" s="38"/>
      <c r="C660" s="39"/>
      <c r="D660" s="38"/>
      <c r="E660" s="42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41"/>
      <c r="S660" s="38"/>
      <c r="T660" s="38"/>
      <c r="U660" s="38"/>
      <c r="V660" s="39"/>
      <c r="W660" s="38"/>
      <c r="X660" s="42"/>
      <c r="Y660" s="39"/>
      <c r="Z660" s="39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</row>
    <row r="661" ht="16.5" customHeight="1">
      <c r="A661" s="38"/>
      <c r="B661" s="38"/>
      <c r="C661" s="39"/>
      <c r="D661" s="38"/>
      <c r="E661" s="42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41"/>
      <c r="S661" s="38"/>
      <c r="T661" s="38"/>
      <c r="U661" s="38"/>
      <c r="V661" s="39"/>
      <c r="W661" s="38"/>
      <c r="X661" s="42"/>
      <c r="Y661" s="39"/>
      <c r="Z661" s="39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</row>
    <row r="662" ht="16.5" customHeight="1">
      <c r="A662" s="38"/>
      <c r="B662" s="38"/>
      <c r="C662" s="39"/>
      <c r="D662" s="38"/>
      <c r="E662" s="42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41"/>
      <c r="S662" s="38"/>
      <c r="T662" s="38"/>
      <c r="U662" s="38"/>
      <c r="V662" s="39"/>
      <c r="W662" s="38"/>
      <c r="X662" s="42"/>
      <c r="Y662" s="39"/>
      <c r="Z662" s="39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</row>
    <row r="663" ht="16.5" customHeight="1">
      <c r="A663" s="38"/>
      <c r="B663" s="38"/>
      <c r="C663" s="39"/>
      <c r="D663" s="38"/>
      <c r="E663" s="42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41"/>
      <c r="S663" s="38"/>
      <c r="T663" s="38"/>
      <c r="U663" s="38"/>
      <c r="V663" s="39"/>
      <c r="W663" s="38"/>
      <c r="X663" s="42"/>
      <c r="Y663" s="39"/>
      <c r="Z663" s="39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</row>
    <row r="664" ht="16.5" customHeight="1">
      <c r="A664" s="38"/>
      <c r="B664" s="38"/>
      <c r="C664" s="39"/>
      <c r="D664" s="38"/>
      <c r="E664" s="42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41"/>
      <c r="S664" s="38"/>
      <c r="T664" s="38"/>
      <c r="U664" s="38"/>
      <c r="V664" s="39"/>
      <c r="W664" s="38"/>
      <c r="X664" s="42"/>
      <c r="Y664" s="39"/>
      <c r="Z664" s="39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</row>
    <row r="665" ht="16.5" customHeight="1">
      <c r="A665" s="38"/>
      <c r="B665" s="38"/>
      <c r="C665" s="39"/>
      <c r="D665" s="38"/>
      <c r="E665" s="42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41"/>
      <c r="S665" s="38"/>
      <c r="T665" s="38"/>
      <c r="U665" s="38"/>
      <c r="V665" s="39"/>
      <c r="W665" s="38"/>
      <c r="X665" s="42"/>
      <c r="Y665" s="39"/>
      <c r="Z665" s="39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</row>
    <row r="666" ht="16.5" customHeight="1">
      <c r="A666" s="38"/>
      <c r="B666" s="38"/>
      <c r="C666" s="39"/>
      <c r="D666" s="38"/>
      <c r="E666" s="42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41"/>
      <c r="S666" s="38"/>
      <c r="T666" s="38"/>
      <c r="U666" s="38"/>
      <c r="V666" s="39"/>
      <c r="W666" s="38"/>
      <c r="X666" s="42"/>
      <c r="Y666" s="39"/>
      <c r="Z666" s="39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</row>
    <row r="667" ht="16.5" customHeight="1">
      <c r="A667" s="38"/>
      <c r="B667" s="38"/>
      <c r="C667" s="39"/>
      <c r="D667" s="38"/>
      <c r="E667" s="42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41"/>
      <c r="S667" s="38"/>
      <c r="T667" s="38"/>
      <c r="U667" s="38"/>
      <c r="V667" s="39"/>
      <c r="W667" s="38"/>
      <c r="X667" s="42"/>
      <c r="Y667" s="39"/>
      <c r="Z667" s="39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</row>
    <row r="668" ht="16.5" customHeight="1">
      <c r="A668" s="38"/>
      <c r="B668" s="38"/>
      <c r="C668" s="39"/>
      <c r="D668" s="38"/>
      <c r="E668" s="42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41"/>
      <c r="S668" s="38"/>
      <c r="T668" s="38"/>
      <c r="U668" s="38"/>
      <c r="V668" s="39"/>
      <c r="W668" s="38"/>
      <c r="X668" s="42"/>
      <c r="Y668" s="39"/>
      <c r="Z668" s="39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</row>
    <row r="669" ht="16.5" customHeight="1">
      <c r="A669" s="38"/>
      <c r="B669" s="38"/>
      <c r="C669" s="39"/>
      <c r="D669" s="38"/>
      <c r="E669" s="42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41"/>
      <c r="S669" s="38"/>
      <c r="T669" s="38"/>
      <c r="U669" s="38"/>
      <c r="V669" s="39"/>
      <c r="W669" s="38"/>
      <c r="X669" s="42"/>
      <c r="Y669" s="39"/>
      <c r="Z669" s="39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</row>
    <row r="670" ht="16.5" customHeight="1">
      <c r="A670" s="38"/>
      <c r="B670" s="38"/>
      <c r="C670" s="39"/>
      <c r="D670" s="38"/>
      <c r="E670" s="42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41"/>
      <c r="S670" s="38"/>
      <c r="T670" s="38"/>
      <c r="U670" s="38"/>
      <c r="V670" s="39"/>
      <c r="W670" s="38"/>
      <c r="X670" s="42"/>
      <c r="Y670" s="39"/>
      <c r="Z670" s="39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</row>
    <row r="671" ht="16.5" customHeight="1">
      <c r="A671" s="38"/>
      <c r="B671" s="38"/>
      <c r="C671" s="39"/>
      <c r="D671" s="38"/>
      <c r="E671" s="42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41"/>
      <c r="S671" s="38"/>
      <c r="T671" s="38"/>
      <c r="U671" s="38"/>
      <c r="V671" s="39"/>
      <c r="W671" s="38"/>
      <c r="X671" s="42"/>
      <c r="Y671" s="39"/>
      <c r="Z671" s="39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</row>
    <row r="672" ht="16.5" customHeight="1">
      <c r="A672" s="38"/>
      <c r="B672" s="38"/>
      <c r="C672" s="39"/>
      <c r="D672" s="38"/>
      <c r="E672" s="42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41"/>
      <c r="S672" s="38"/>
      <c r="T672" s="38"/>
      <c r="U672" s="38"/>
      <c r="V672" s="39"/>
      <c r="W672" s="38"/>
      <c r="X672" s="42"/>
      <c r="Y672" s="39"/>
      <c r="Z672" s="39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</row>
    <row r="673" ht="16.5" customHeight="1">
      <c r="A673" s="38"/>
      <c r="B673" s="38"/>
      <c r="C673" s="39"/>
      <c r="D673" s="38"/>
      <c r="E673" s="42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41"/>
      <c r="S673" s="38"/>
      <c r="T673" s="38"/>
      <c r="U673" s="38"/>
      <c r="V673" s="39"/>
      <c r="W673" s="38"/>
      <c r="X673" s="42"/>
      <c r="Y673" s="39"/>
      <c r="Z673" s="39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</row>
    <row r="674" ht="16.5" customHeight="1">
      <c r="A674" s="38"/>
      <c r="B674" s="38"/>
      <c r="C674" s="39"/>
      <c r="D674" s="38"/>
      <c r="E674" s="42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41"/>
      <c r="S674" s="38"/>
      <c r="T674" s="38"/>
      <c r="U674" s="38"/>
      <c r="V674" s="39"/>
      <c r="W674" s="38"/>
      <c r="X674" s="42"/>
      <c r="Y674" s="39"/>
      <c r="Z674" s="39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</row>
    <row r="675" ht="16.5" customHeight="1">
      <c r="A675" s="38"/>
      <c r="B675" s="38"/>
      <c r="C675" s="39"/>
      <c r="D675" s="38"/>
      <c r="E675" s="42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41"/>
      <c r="S675" s="38"/>
      <c r="T675" s="38"/>
      <c r="U675" s="38"/>
      <c r="V675" s="39"/>
      <c r="W675" s="38"/>
      <c r="X675" s="42"/>
      <c r="Y675" s="39"/>
      <c r="Z675" s="39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</row>
    <row r="676" ht="16.5" customHeight="1">
      <c r="A676" s="38"/>
      <c r="B676" s="38"/>
      <c r="C676" s="39"/>
      <c r="D676" s="38"/>
      <c r="E676" s="42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41"/>
      <c r="S676" s="38"/>
      <c r="T676" s="38"/>
      <c r="U676" s="38"/>
      <c r="V676" s="39"/>
      <c r="W676" s="38"/>
      <c r="X676" s="42"/>
      <c r="Y676" s="39"/>
      <c r="Z676" s="39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</row>
    <row r="677" ht="16.5" customHeight="1">
      <c r="A677" s="38"/>
      <c r="B677" s="38"/>
      <c r="C677" s="39"/>
      <c r="D677" s="38"/>
      <c r="E677" s="42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41"/>
      <c r="S677" s="38"/>
      <c r="T677" s="38"/>
      <c r="U677" s="38"/>
      <c r="V677" s="39"/>
      <c r="W677" s="38"/>
      <c r="X677" s="42"/>
      <c r="Y677" s="39"/>
      <c r="Z677" s="39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</row>
    <row r="678" ht="16.5" customHeight="1">
      <c r="A678" s="38"/>
      <c r="B678" s="38"/>
      <c r="C678" s="39"/>
      <c r="D678" s="38"/>
      <c r="E678" s="42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41"/>
      <c r="S678" s="38"/>
      <c r="T678" s="38"/>
      <c r="U678" s="38"/>
      <c r="V678" s="39"/>
      <c r="W678" s="38"/>
      <c r="X678" s="42"/>
      <c r="Y678" s="39"/>
      <c r="Z678" s="39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</row>
    <row r="679" ht="16.5" customHeight="1">
      <c r="A679" s="38"/>
      <c r="B679" s="38"/>
      <c r="C679" s="39"/>
      <c r="D679" s="38"/>
      <c r="E679" s="42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41"/>
      <c r="S679" s="38"/>
      <c r="T679" s="38"/>
      <c r="U679" s="38"/>
      <c r="V679" s="39"/>
      <c r="W679" s="38"/>
      <c r="X679" s="42"/>
      <c r="Y679" s="39"/>
      <c r="Z679" s="39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</row>
    <row r="680" ht="16.5" customHeight="1">
      <c r="A680" s="38"/>
      <c r="B680" s="38"/>
      <c r="C680" s="39"/>
      <c r="D680" s="38"/>
      <c r="E680" s="42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41"/>
      <c r="S680" s="38"/>
      <c r="T680" s="38"/>
      <c r="U680" s="38"/>
      <c r="V680" s="39"/>
      <c r="W680" s="38"/>
      <c r="X680" s="42"/>
      <c r="Y680" s="39"/>
      <c r="Z680" s="39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</row>
    <row r="681" ht="16.5" customHeight="1">
      <c r="A681" s="38"/>
      <c r="B681" s="38"/>
      <c r="C681" s="39"/>
      <c r="D681" s="38"/>
      <c r="E681" s="42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41"/>
      <c r="S681" s="38"/>
      <c r="T681" s="38"/>
      <c r="U681" s="38"/>
      <c r="V681" s="39"/>
      <c r="W681" s="38"/>
      <c r="X681" s="42"/>
      <c r="Y681" s="39"/>
      <c r="Z681" s="39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</row>
    <row r="682" ht="16.5" customHeight="1">
      <c r="A682" s="38"/>
      <c r="B682" s="38"/>
      <c r="C682" s="39"/>
      <c r="D682" s="38"/>
      <c r="E682" s="42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41"/>
      <c r="S682" s="38"/>
      <c r="T682" s="38"/>
      <c r="U682" s="38"/>
      <c r="V682" s="39"/>
      <c r="W682" s="38"/>
      <c r="X682" s="42"/>
      <c r="Y682" s="39"/>
      <c r="Z682" s="39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</row>
    <row r="683" ht="16.5" customHeight="1">
      <c r="A683" s="38"/>
      <c r="B683" s="38"/>
      <c r="C683" s="39"/>
      <c r="D683" s="38"/>
      <c r="E683" s="42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41"/>
      <c r="S683" s="38"/>
      <c r="T683" s="38"/>
      <c r="U683" s="38"/>
      <c r="V683" s="39"/>
      <c r="W683" s="38"/>
      <c r="X683" s="42"/>
      <c r="Y683" s="39"/>
      <c r="Z683" s="39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</row>
    <row r="684" ht="16.5" customHeight="1">
      <c r="A684" s="38"/>
      <c r="B684" s="38"/>
      <c r="C684" s="39"/>
      <c r="D684" s="38"/>
      <c r="E684" s="42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41"/>
      <c r="S684" s="38"/>
      <c r="T684" s="38"/>
      <c r="U684" s="38"/>
      <c r="V684" s="39"/>
      <c r="W684" s="38"/>
      <c r="X684" s="42"/>
      <c r="Y684" s="39"/>
      <c r="Z684" s="39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</row>
    <row r="685" ht="16.5" customHeight="1">
      <c r="A685" s="38"/>
      <c r="B685" s="38"/>
      <c r="C685" s="39"/>
      <c r="D685" s="38"/>
      <c r="E685" s="42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41"/>
      <c r="S685" s="38"/>
      <c r="T685" s="38"/>
      <c r="U685" s="38"/>
      <c r="V685" s="39"/>
      <c r="W685" s="38"/>
      <c r="X685" s="42"/>
      <c r="Y685" s="39"/>
      <c r="Z685" s="39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</row>
    <row r="686" ht="16.5" customHeight="1">
      <c r="A686" s="38"/>
      <c r="B686" s="38"/>
      <c r="C686" s="39"/>
      <c r="D686" s="38"/>
      <c r="E686" s="42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41"/>
      <c r="S686" s="38"/>
      <c r="T686" s="38"/>
      <c r="U686" s="38"/>
      <c r="V686" s="39"/>
      <c r="W686" s="38"/>
      <c r="X686" s="42"/>
      <c r="Y686" s="39"/>
      <c r="Z686" s="39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</row>
    <row r="687" ht="16.5" customHeight="1">
      <c r="A687" s="38"/>
      <c r="B687" s="38"/>
      <c r="C687" s="39"/>
      <c r="D687" s="38"/>
      <c r="E687" s="42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41"/>
      <c r="S687" s="38"/>
      <c r="T687" s="38"/>
      <c r="U687" s="38"/>
      <c r="V687" s="39"/>
      <c r="W687" s="38"/>
      <c r="X687" s="42"/>
      <c r="Y687" s="39"/>
      <c r="Z687" s="39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</row>
    <row r="688" ht="16.5" customHeight="1">
      <c r="A688" s="38"/>
      <c r="B688" s="38"/>
      <c r="C688" s="39"/>
      <c r="D688" s="38"/>
      <c r="E688" s="42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41"/>
      <c r="S688" s="38"/>
      <c r="T688" s="38"/>
      <c r="U688" s="38"/>
      <c r="V688" s="39"/>
      <c r="W688" s="38"/>
      <c r="X688" s="42"/>
      <c r="Y688" s="39"/>
      <c r="Z688" s="39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</row>
    <row r="689" ht="16.5" customHeight="1">
      <c r="A689" s="38"/>
      <c r="B689" s="38"/>
      <c r="C689" s="39"/>
      <c r="D689" s="38"/>
      <c r="E689" s="42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41"/>
      <c r="S689" s="38"/>
      <c r="T689" s="38"/>
      <c r="U689" s="38"/>
      <c r="V689" s="39"/>
      <c r="W689" s="38"/>
      <c r="X689" s="42"/>
      <c r="Y689" s="39"/>
      <c r="Z689" s="39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</row>
    <row r="690" ht="16.5" customHeight="1">
      <c r="A690" s="38"/>
      <c r="B690" s="38"/>
      <c r="C690" s="39"/>
      <c r="D690" s="38"/>
      <c r="E690" s="42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41"/>
      <c r="S690" s="38"/>
      <c r="T690" s="38"/>
      <c r="U690" s="38"/>
      <c r="V690" s="39"/>
      <c r="W690" s="38"/>
      <c r="X690" s="42"/>
      <c r="Y690" s="39"/>
      <c r="Z690" s="39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</row>
    <row r="691" ht="16.5" customHeight="1">
      <c r="A691" s="38"/>
      <c r="B691" s="38"/>
      <c r="C691" s="39"/>
      <c r="D691" s="38"/>
      <c r="E691" s="42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41"/>
      <c r="S691" s="38"/>
      <c r="T691" s="38"/>
      <c r="U691" s="38"/>
      <c r="V691" s="39"/>
      <c r="W691" s="38"/>
      <c r="X691" s="42"/>
      <c r="Y691" s="39"/>
      <c r="Z691" s="39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</row>
    <row r="692" ht="16.5" customHeight="1">
      <c r="A692" s="38"/>
      <c r="B692" s="38"/>
      <c r="C692" s="39"/>
      <c r="D692" s="38"/>
      <c r="E692" s="42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41"/>
      <c r="S692" s="38"/>
      <c r="T692" s="38"/>
      <c r="U692" s="38"/>
      <c r="V692" s="39"/>
      <c r="W692" s="38"/>
      <c r="X692" s="42"/>
      <c r="Y692" s="39"/>
      <c r="Z692" s="39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</row>
    <row r="693" ht="16.5" customHeight="1">
      <c r="A693" s="38"/>
      <c r="B693" s="38"/>
      <c r="C693" s="39"/>
      <c r="D693" s="38"/>
      <c r="E693" s="42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41"/>
      <c r="S693" s="38"/>
      <c r="T693" s="38"/>
      <c r="U693" s="38"/>
      <c r="V693" s="39"/>
      <c r="W693" s="38"/>
      <c r="X693" s="42"/>
      <c r="Y693" s="39"/>
      <c r="Z693" s="39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</row>
    <row r="694" ht="16.5" customHeight="1">
      <c r="A694" s="38"/>
      <c r="B694" s="38"/>
      <c r="C694" s="39"/>
      <c r="D694" s="38"/>
      <c r="E694" s="42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41"/>
      <c r="S694" s="38"/>
      <c r="T694" s="38"/>
      <c r="U694" s="38"/>
      <c r="V694" s="39"/>
      <c r="W694" s="38"/>
      <c r="X694" s="42"/>
      <c r="Y694" s="39"/>
      <c r="Z694" s="39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</row>
    <row r="695" ht="16.5" customHeight="1">
      <c r="A695" s="38"/>
      <c r="B695" s="38"/>
      <c r="C695" s="39"/>
      <c r="D695" s="38"/>
      <c r="E695" s="42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41"/>
      <c r="S695" s="38"/>
      <c r="T695" s="38"/>
      <c r="U695" s="38"/>
      <c r="V695" s="39"/>
      <c r="W695" s="38"/>
      <c r="X695" s="42"/>
      <c r="Y695" s="39"/>
      <c r="Z695" s="39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</row>
    <row r="696" ht="16.5" customHeight="1">
      <c r="A696" s="38"/>
      <c r="B696" s="38"/>
      <c r="C696" s="39"/>
      <c r="D696" s="38"/>
      <c r="E696" s="42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41"/>
      <c r="S696" s="38"/>
      <c r="T696" s="38"/>
      <c r="U696" s="38"/>
      <c r="V696" s="39"/>
      <c r="W696" s="38"/>
      <c r="X696" s="42"/>
      <c r="Y696" s="39"/>
      <c r="Z696" s="39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</row>
    <row r="697" ht="16.5" customHeight="1">
      <c r="A697" s="38"/>
      <c r="B697" s="38"/>
      <c r="C697" s="39"/>
      <c r="D697" s="38"/>
      <c r="E697" s="42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41"/>
      <c r="S697" s="38"/>
      <c r="T697" s="38"/>
      <c r="U697" s="38"/>
      <c r="V697" s="39"/>
      <c r="W697" s="38"/>
      <c r="X697" s="42"/>
      <c r="Y697" s="39"/>
      <c r="Z697" s="39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</row>
    <row r="698" ht="16.5" customHeight="1">
      <c r="A698" s="38"/>
      <c r="B698" s="38"/>
      <c r="C698" s="39"/>
      <c r="D698" s="38"/>
      <c r="E698" s="42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41"/>
      <c r="S698" s="38"/>
      <c r="T698" s="38"/>
      <c r="U698" s="38"/>
      <c r="V698" s="39"/>
      <c r="W698" s="38"/>
      <c r="X698" s="42"/>
      <c r="Y698" s="39"/>
      <c r="Z698" s="39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</row>
    <row r="699" ht="16.5" customHeight="1">
      <c r="A699" s="38"/>
      <c r="B699" s="38"/>
      <c r="C699" s="39"/>
      <c r="D699" s="38"/>
      <c r="E699" s="42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41"/>
      <c r="S699" s="38"/>
      <c r="T699" s="38"/>
      <c r="U699" s="38"/>
      <c r="V699" s="39"/>
      <c r="W699" s="38"/>
      <c r="X699" s="42"/>
      <c r="Y699" s="39"/>
      <c r="Z699" s="39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</row>
    <row r="700" ht="16.5" customHeight="1">
      <c r="A700" s="38"/>
      <c r="B700" s="38"/>
      <c r="C700" s="39"/>
      <c r="D700" s="38"/>
      <c r="E700" s="42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41"/>
      <c r="S700" s="38"/>
      <c r="T700" s="38"/>
      <c r="U700" s="38"/>
      <c r="V700" s="39"/>
      <c r="W700" s="38"/>
      <c r="X700" s="42"/>
      <c r="Y700" s="39"/>
      <c r="Z700" s="39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</row>
    <row r="701" ht="16.5" customHeight="1">
      <c r="A701" s="38"/>
      <c r="B701" s="38"/>
      <c r="C701" s="39"/>
      <c r="D701" s="38"/>
      <c r="E701" s="42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41"/>
      <c r="S701" s="38"/>
      <c r="T701" s="38"/>
      <c r="U701" s="38"/>
      <c r="V701" s="39"/>
      <c r="W701" s="38"/>
      <c r="X701" s="42"/>
      <c r="Y701" s="39"/>
      <c r="Z701" s="39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</row>
    <row r="702" ht="16.5" customHeight="1">
      <c r="A702" s="38"/>
      <c r="B702" s="38"/>
      <c r="C702" s="39"/>
      <c r="D702" s="38"/>
      <c r="E702" s="42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41"/>
      <c r="S702" s="38"/>
      <c r="T702" s="38"/>
      <c r="U702" s="38"/>
      <c r="V702" s="39"/>
      <c r="W702" s="38"/>
      <c r="X702" s="42"/>
      <c r="Y702" s="39"/>
      <c r="Z702" s="39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</row>
    <row r="703" ht="16.5" customHeight="1">
      <c r="A703" s="38"/>
      <c r="B703" s="38"/>
      <c r="C703" s="39"/>
      <c r="D703" s="38"/>
      <c r="E703" s="42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41"/>
      <c r="S703" s="38"/>
      <c r="T703" s="38"/>
      <c r="U703" s="38"/>
      <c r="V703" s="39"/>
      <c r="W703" s="38"/>
      <c r="X703" s="42"/>
      <c r="Y703" s="39"/>
      <c r="Z703" s="39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</row>
    <row r="704" ht="16.5" customHeight="1">
      <c r="A704" s="38"/>
      <c r="B704" s="38"/>
      <c r="C704" s="39"/>
      <c r="D704" s="38"/>
      <c r="E704" s="42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41"/>
      <c r="S704" s="38"/>
      <c r="T704" s="38"/>
      <c r="U704" s="38"/>
      <c r="V704" s="39"/>
      <c r="W704" s="38"/>
      <c r="X704" s="42"/>
      <c r="Y704" s="39"/>
      <c r="Z704" s="39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</row>
    <row r="705" ht="16.5" customHeight="1">
      <c r="A705" s="38"/>
      <c r="B705" s="38"/>
      <c r="C705" s="39"/>
      <c r="D705" s="38"/>
      <c r="E705" s="42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41"/>
      <c r="S705" s="38"/>
      <c r="T705" s="38"/>
      <c r="U705" s="38"/>
      <c r="V705" s="39"/>
      <c r="W705" s="38"/>
      <c r="X705" s="42"/>
      <c r="Y705" s="39"/>
      <c r="Z705" s="39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</row>
    <row r="706" ht="16.5" customHeight="1">
      <c r="A706" s="38"/>
      <c r="B706" s="38"/>
      <c r="C706" s="39"/>
      <c r="D706" s="38"/>
      <c r="E706" s="42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41"/>
      <c r="S706" s="38"/>
      <c r="T706" s="38"/>
      <c r="U706" s="38"/>
      <c r="V706" s="39"/>
      <c r="W706" s="38"/>
      <c r="X706" s="42"/>
      <c r="Y706" s="39"/>
      <c r="Z706" s="39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</row>
    <row r="707" ht="16.5" customHeight="1">
      <c r="A707" s="38"/>
      <c r="B707" s="38"/>
      <c r="C707" s="39"/>
      <c r="D707" s="38"/>
      <c r="E707" s="42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41"/>
      <c r="S707" s="38"/>
      <c r="T707" s="38"/>
      <c r="U707" s="38"/>
      <c r="V707" s="39"/>
      <c r="W707" s="38"/>
      <c r="X707" s="42"/>
      <c r="Y707" s="39"/>
      <c r="Z707" s="39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</row>
    <row r="708" ht="16.5" customHeight="1">
      <c r="A708" s="38"/>
      <c r="B708" s="38"/>
      <c r="C708" s="39"/>
      <c r="D708" s="38"/>
      <c r="E708" s="42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41"/>
      <c r="S708" s="38"/>
      <c r="T708" s="38"/>
      <c r="U708" s="38"/>
      <c r="V708" s="39"/>
      <c r="W708" s="38"/>
      <c r="X708" s="42"/>
      <c r="Y708" s="39"/>
      <c r="Z708" s="39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</row>
    <row r="709" ht="16.5" customHeight="1">
      <c r="A709" s="38"/>
      <c r="B709" s="38"/>
      <c r="C709" s="39"/>
      <c r="D709" s="38"/>
      <c r="E709" s="42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41"/>
      <c r="S709" s="38"/>
      <c r="T709" s="38"/>
      <c r="U709" s="38"/>
      <c r="V709" s="39"/>
      <c r="W709" s="38"/>
      <c r="X709" s="42"/>
      <c r="Y709" s="39"/>
      <c r="Z709" s="39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</row>
    <row r="710" ht="16.5" customHeight="1">
      <c r="A710" s="38"/>
      <c r="B710" s="38"/>
      <c r="C710" s="39"/>
      <c r="D710" s="38"/>
      <c r="E710" s="42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41"/>
      <c r="S710" s="38"/>
      <c r="T710" s="38"/>
      <c r="U710" s="38"/>
      <c r="V710" s="39"/>
      <c r="W710" s="38"/>
      <c r="X710" s="42"/>
      <c r="Y710" s="39"/>
      <c r="Z710" s="39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</row>
    <row r="711" ht="16.5" customHeight="1">
      <c r="A711" s="38"/>
      <c r="B711" s="38"/>
      <c r="C711" s="39"/>
      <c r="D711" s="38"/>
      <c r="E711" s="42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41"/>
      <c r="S711" s="38"/>
      <c r="T711" s="38"/>
      <c r="U711" s="38"/>
      <c r="V711" s="39"/>
      <c r="W711" s="38"/>
      <c r="X711" s="42"/>
      <c r="Y711" s="39"/>
      <c r="Z711" s="39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</row>
    <row r="712" ht="16.5" customHeight="1">
      <c r="A712" s="38"/>
      <c r="B712" s="38"/>
      <c r="C712" s="39"/>
      <c r="D712" s="38"/>
      <c r="E712" s="42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41"/>
      <c r="S712" s="38"/>
      <c r="T712" s="38"/>
      <c r="U712" s="38"/>
      <c r="V712" s="39"/>
      <c r="W712" s="38"/>
      <c r="X712" s="42"/>
      <c r="Y712" s="39"/>
      <c r="Z712" s="39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</row>
    <row r="713" ht="16.5" customHeight="1">
      <c r="A713" s="38"/>
      <c r="B713" s="38"/>
      <c r="C713" s="39"/>
      <c r="D713" s="38"/>
      <c r="E713" s="42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41"/>
      <c r="S713" s="38"/>
      <c r="T713" s="38"/>
      <c r="U713" s="38"/>
      <c r="V713" s="39"/>
      <c r="W713" s="38"/>
      <c r="X713" s="42"/>
      <c r="Y713" s="39"/>
      <c r="Z713" s="39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</row>
    <row r="714" ht="16.5" customHeight="1">
      <c r="A714" s="38"/>
      <c r="B714" s="38"/>
      <c r="C714" s="39"/>
      <c r="D714" s="38"/>
      <c r="E714" s="42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41"/>
      <c r="S714" s="38"/>
      <c r="T714" s="38"/>
      <c r="U714" s="38"/>
      <c r="V714" s="39"/>
      <c r="W714" s="38"/>
      <c r="X714" s="42"/>
      <c r="Y714" s="39"/>
      <c r="Z714" s="39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</row>
    <row r="715" ht="16.5" customHeight="1">
      <c r="A715" s="38"/>
      <c r="B715" s="38"/>
      <c r="C715" s="39"/>
      <c r="D715" s="38"/>
      <c r="E715" s="42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41"/>
      <c r="S715" s="38"/>
      <c r="T715" s="38"/>
      <c r="U715" s="38"/>
      <c r="V715" s="39"/>
      <c r="W715" s="38"/>
      <c r="X715" s="42"/>
      <c r="Y715" s="39"/>
      <c r="Z715" s="39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</row>
    <row r="716" ht="16.5" customHeight="1">
      <c r="A716" s="38"/>
      <c r="B716" s="38"/>
      <c r="C716" s="39"/>
      <c r="D716" s="38"/>
      <c r="E716" s="42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41"/>
      <c r="S716" s="38"/>
      <c r="T716" s="38"/>
      <c r="U716" s="38"/>
      <c r="V716" s="39"/>
      <c r="W716" s="38"/>
      <c r="X716" s="42"/>
      <c r="Y716" s="39"/>
      <c r="Z716" s="39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</row>
    <row r="717" ht="16.5" customHeight="1">
      <c r="A717" s="38"/>
      <c r="B717" s="38"/>
      <c r="C717" s="39"/>
      <c r="D717" s="38"/>
      <c r="E717" s="42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41"/>
      <c r="S717" s="38"/>
      <c r="T717" s="38"/>
      <c r="U717" s="38"/>
      <c r="V717" s="39"/>
      <c r="W717" s="38"/>
      <c r="X717" s="42"/>
      <c r="Y717" s="39"/>
      <c r="Z717" s="39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</row>
    <row r="718" ht="16.5" customHeight="1">
      <c r="A718" s="38"/>
      <c r="B718" s="38"/>
      <c r="C718" s="39"/>
      <c r="D718" s="38"/>
      <c r="E718" s="42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41"/>
      <c r="S718" s="38"/>
      <c r="T718" s="38"/>
      <c r="U718" s="38"/>
      <c r="V718" s="39"/>
      <c r="W718" s="38"/>
      <c r="X718" s="42"/>
      <c r="Y718" s="39"/>
      <c r="Z718" s="39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</row>
    <row r="719" ht="16.5" customHeight="1">
      <c r="A719" s="38"/>
      <c r="B719" s="38"/>
      <c r="C719" s="39"/>
      <c r="D719" s="38"/>
      <c r="E719" s="42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41"/>
      <c r="S719" s="38"/>
      <c r="T719" s="38"/>
      <c r="U719" s="38"/>
      <c r="V719" s="39"/>
      <c r="W719" s="38"/>
      <c r="X719" s="42"/>
      <c r="Y719" s="39"/>
      <c r="Z719" s="39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</row>
    <row r="720" ht="16.5" customHeight="1">
      <c r="A720" s="38"/>
      <c r="B720" s="38"/>
      <c r="C720" s="39"/>
      <c r="D720" s="38"/>
      <c r="E720" s="42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41"/>
      <c r="S720" s="38"/>
      <c r="T720" s="38"/>
      <c r="U720" s="38"/>
      <c r="V720" s="39"/>
      <c r="W720" s="38"/>
      <c r="X720" s="42"/>
      <c r="Y720" s="39"/>
      <c r="Z720" s="39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</row>
    <row r="721" ht="16.5" customHeight="1">
      <c r="A721" s="38"/>
      <c r="B721" s="38"/>
      <c r="C721" s="39"/>
      <c r="D721" s="38"/>
      <c r="E721" s="42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41"/>
      <c r="S721" s="38"/>
      <c r="T721" s="38"/>
      <c r="U721" s="38"/>
      <c r="V721" s="39"/>
      <c r="W721" s="38"/>
      <c r="X721" s="42"/>
      <c r="Y721" s="39"/>
      <c r="Z721" s="39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</row>
    <row r="722" ht="16.5" customHeight="1">
      <c r="A722" s="38"/>
      <c r="B722" s="38"/>
      <c r="C722" s="39"/>
      <c r="D722" s="38"/>
      <c r="E722" s="42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41"/>
      <c r="S722" s="38"/>
      <c r="T722" s="38"/>
      <c r="U722" s="38"/>
      <c r="V722" s="39"/>
      <c r="W722" s="38"/>
      <c r="X722" s="42"/>
      <c r="Y722" s="39"/>
      <c r="Z722" s="39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</row>
    <row r="723" ht="16.5" customHeight="1">
      <c r="A723" s="38"/>
      <c r="B723" s="38"/>
      <c r="C723" s="39"/>
      <c r="D723" s="38"/>
      <c r="E723" s="42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41"/>
      <c r="S723" s="38"/>
      <c r="T723" s="38"/>
      <c r="U723" s="38"/>
      <c r="V723" s="39"/>
      <c r="W723" s="38"/>
      <c r="X723" s="42"/>
      <c r="Y723" s="39"/>
      <c r="Z723" s="39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</row>
    <row r="724" ht="16.5" customHeight="1">
      <c r="A724" s="38"/>
      <c r="B724" s="38"/>
      <c r="C724" s="39"/>
      <c r="D724" s="38"/>
      <c r="E724" s="42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41"/>
      <c r="S724" s="38"/>
      <c r="T724" s="38"/>
      <c r="U724" s="38"/>
      <c r="V724" s="39"/>
      <c r="W724" s="38"/>
      <c r="X724" s="42"/>
      <c r="Y724" s="39"/>
      <c r="Z724" s="39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</row>
    <row r="725" ht="16.5" customHeight="1">
      <c r="A725" s="38"/>
      <c r="B725" s="38"/>
      <c r="C725" s="39"/>
      <c r="D725" s="38"/>
      <c r="E725" s="42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41"/>
      <c r="S725" s="38"/>
      <c r="T725" s="38"/>
      <c r="U725" s="38"/>
      <c r="V725" s="39"/>
      <c r="W725" s="38"/>
      <c r="X725" s="42"/>
      <c r="Y725" s="39"/>
      <c r="Z725" s="39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</row>
    <row r="726" ht="16.5" customHeight="1">
      <c r="A726" s="38"/>
      <c r="B726" s="38"/>
      <c r="C726" s="39"/>
      <c r="D726" s="38"/>
      <c r="E726" s="42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41"/>
      <c r="S726" s="38"/>
      <c r="T726" s="38"/>
      <c r="U726" s="38"/>
      <c r="V726" s="39"/>
      <c r="W726" s="38"/>
      <c r="X726" s="42"/>
      <c r="Y726" s="39"/>
      <c r="Z726" s="39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</row>
    <row r="727" ht="16.5" customHeight="1">
      <c r="A727" s="38"/>
      <c r="B727" s="38"/>
      <c r="C727" s="39"/>
      <c r="D727" s="38"/>
      <c r="E727" s="42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41"/>
      <c r="S727" s="38"/>
      <c r="T727" s="38"/>
      <c r="U727" s="38"/>
      <c r="V727" s="39"/>
      <c r="W727" s="38"/>
      <c r="X727" s="42"/>
      <c r="Y727" s="39"/>
      <c r="Z727" s="39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</row>
    <row r="728" ht="16.5" customHeight="1">
      <c r="A728" s="38"/>
      <c r="B728" s="38"/>
      <c r="C728" s="39"/>
      <c r="D728" s="38"/>
      <c r="E728" s="42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41"/>
      <c r="S728" s="38"/>
      <c r="T728" s="38"/>
      <c r="U728" s="38"/>
      <c r="V728" s="39"/>
      <c r="W728" s="38"/>
      <c r="X728" s="42"/>
      <c r="Y728" s="39"/>
      <c r="Z728" s="39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</row>
    <row r="729" ht="16.5" customHeight="1">
      <c r="A729" s="38"/>
      <c r="B729" s="38"/>
      <c r="C729" s="39"/>
      <c r="D729" s="38"/>
      <c r="E729" s="42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41"/>
      <c r="S729" s="38"/>
      <c r="T729" s="38"/>
      <c r="U729" s="38"/>
      <c r="V729" s="39"/>
      <c r="W729" s="38"/>
      <c r="X729" s="42"/>
      <c r="Y729" s="39"/>
      <c r="Z729" s="39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</row>
    <row r="730" ht="16.5" customHeight="1">
      <c r="A730" s="38"/>
      <c r="B730" s="38"/>
      <c r="C730" s="39"/>
      <c r="D730" s="38"/>
      <c r="E730" s="42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41"/>
      <c r="S730" s="38"/>
      <c r="T730" s="38"/>
      <c r="U730" s="38"/>
      <c r="V730" s="39"/>
      <c r="W730" s="38"/>
      <c r="X730" s="42"/>
      <c r="Y730" s="39"/>
      <c r="Z730" s="39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</row>
    <row r="731" ht="16.5" customHeight="1">
      <c r="A731" s="38"/>
      <c r="B731" s="38"/>
      <c r="C731" s="39"/>
      <c r="D731" s="38"/>
      <c r="E731" s="42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41"/>
      <c r="S731" s="38"/>
      <c r="T731" s="38"/>
      <c r="U731" s="38"/>
      <c r="V731" s="39"/>
      <c r="W731" s="38"/>
      <c r="X731" s="42"/>
      <c r="Y731" s="39"/>
      <c r="Z731" s="39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</row>
    <row r="732" ht="16.5" customHeight="1">
      <c r="A732" s="38"/>
      <c r="B732" s="38"/>
      <c r="C732" s="39"/>
      <c r="D732" s="38"/>
      <c r="E732" s="42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41"/>
      <c r="S732" s="38"/>
      <c r="T732" s="38"/>
      <c r="U732" s="38"/>
      <c r="V732" s="39"/>
      <c r="W732" s="38"/>
      <c r="X732" s="42"/>
      <c r="Y732" s="39"/>
      <c r="Z732" s="39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</row>
    <row r="733" ht="16.5" customHeight="1">
      <c r="A733" s="38"/>
      <c r="B733" s="38"/>
      <c r="C733" s="39"/>
      <c r="D733" s="38"/>
      <c r="E733" s="42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41"/>
      <c r="S733" s="38"/>
      <c r="T733" s="38"/>
      <c r="U733" s="38"/>
      <c r="V733" s="39"/>
      <c r="W733" s="38"/>
      <c r="X733" s="42"/>
      <c r="Y733" s="39"/>
      <c r="Z733" s="39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</row>
    <row r="734" ht="16.5" customHeight="1">
      <c r="A734" s="38"/>
      <c r="B734" s="38"/>
      <c r="C734" s="39"/>
      <c r="D734" s="38"/>
      <c r="E734" s="42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41"/>
      <c r="S734" s="38"/>
      <c r="T734" s="38"/>
      <c r="U734" s="38"/>
      <c r="V734" s="39"/>
      <c r="W734" s="38"/>
      <c r="X734" s="42"/>
      <c r="Y734" s="39"/>
      <c r="Z734" s="39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</row>
    <row r="735" ht="16.5" customHeight="1">
      <c r="A735" s="38"/>
      <c r="B735" s="38"/>
      <c r="C735" s="39"/>
      <c r="D735" s="38"/>
      <c r="E735" s="42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41"/>
      <c r="S735" s="38"/>
      <c r="T735" s="38"/>
      <c r="U735" s="38"/>
      <c r="V735" s="39"/>
      <c r="W735" s="38"/>
      <c r="X735" s="42"/>
      <c r="Y735" s="39"/>
      <c r="Z735" s="39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</row>
    <row r="736" ht="16.5" customHeight="1">
      <c r="A736" s="38"/>
      <c r="B736" s="38"/>
      <c r="C736" s="39"/>
      <c r="D736" s="38"/>
      <c r="E736" s="42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41"/>
      <c r="S736" s="38"/>
      <c r="T736" s="38"/>
      <c r="U736" s="38"/>
      <c r="V736" s="39"/>
      <c r="W736" s="38"/>
      <c r="X736" s="42"/>
      <c r="Y736" s="39"/>
      <c r="Z736" s="39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</row>
    <row r="737" ht="16.5" customHeight="1">
      <c r="A737" s="38"/>
      <c r="B737" s="38"/>
      <c r="C737" s="39"/>
      <c r="D737" s="38"/>
      <c r="E737" s="42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41"/>
      <c r="S737" s="38"/>
      <c r="T737" s="38"/>
      <c r="U737" s="38"/>
      <c r="V737" s="39"/>
      <c r="W737" s="38"/>
      <c r="X737" s="42"/>
      <c r="Y737" s="39"/>
      <c r="Z737" s="39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</row>
    <row r="738" ht="16.5" customHeight="1">
      <c r="A738" s="38"/>
      <c r="B738" s="38"/>
      <c r="C738" s="39"/>
      <c r="D738" s="38"/>
      <c r="E738" s="42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41"/>
      <c r="S738" s="38"/>
      <c r="T738" s="38"/>
      <c r="U738" s="38"/>
      <c r="V738" s="39"/>
      <c r="W738" s="38"/>
      <c r="X738" s="42"/>
      <c r="Y738" s="39"/>
      <c r="Z738" s="39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</row>
    <row r="739" ht="16.5" customHeight="1">
      <c r="A739" s="38"/>
      <c r="B739" s="38"/>
      <c r="C739" s="39"/>
      <c r="D739" s="38"/>
      <c r="E739" s="42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41"/>
      <c r="S739" s="38"/>
      <c r="T739" s="38"/>
      <c r="U739" s="38"/>
      <c r="V739" s="39"/>
      <c r="W739" s="38"/>
      <c r="X739" s="42"/>
      <c r="Y739" s="39"/>
      <c r="Z739" s="39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</row>
    <row r="740" ht="16.5" customHeight="1">
      <c r="A740" s="38"/>
      <c r="B740" s="38"/>
      <c r="C740" s="39"/>
      <c r="D740" s="38"/>
      <c r="E740" s="42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41"/>
      <c r="S740" s="38"/>
      <c r="T740" s="38"/>
      <c r="U740" s="38"/>
      <c r="V740" s="39"/>
      <c r="W740" s="38"/>
      <c r="X740" s="42"/>
      <c r="Y740" s="39"/>
      <c r="Z740" s="39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</row>
    <row r="741" ht="16.5" customHeight="1">
      <c r="A741" s="38"/>
      <c r="B741" s="38"/>
      <c r="C741" s="39"/>
      <c r="D741" s="38"/>
      <c r="E741" s="42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41"/>
      <c r="S741" s="38"/>
      <c r="T741" s="38"/>
      <c r="U741" s="38"/>
      <c r="V741" s="39"/>
      <c r="W741" s="38"/>
      <c r="X741" s="42"/>
      <c r="Y741" s="39"/>
      <c r="Z741" s="39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</row>
    <row r="742" ht="16.5" customHeight="1">
      <c r="A742" s="38"/>
      <c r="B742" s="38"/>
      <c r="C742" s="39"/>
      <c r="D742" s="38"/>
      <c r="E742" s="42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41"/>
      <c r="S742" s="38"/>
      <c r="T742" s="38"/>
      <c r="U742" s="38"/>
      <c r="V742" s="39"/>
      <c r="W742" s="38"/>
      <c r="X742" s="42"/>
      <c r="Y742" s="39"/>
      <c r="Z742" s="39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</row>
    <row r="743" ht="16.5" customHeight="1">
      <c r="A743" s="38"/>
      <c r="B743" s="38"/>
      <c r="C743" s="39"/>
      <c r="D743" s="38"/>
      <c r="E743" s="42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41"/>
      <c r="S743" s="38"/>
      <c r="T743" s="38"/>
      <c r="U743" s="38"/>
      <c r="V743" s="39"/>
      <c r="W743" s="38"/>
      <c r="X743" s="42"/>
      <c r="Y743" s="39"/>
      <c r="Z743" s="39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</row>
    <row r="744" ht="16.5" customHeight="1">
      <c r="A744" s="38"/>
      <c r="B744" s="38"/>
      <c r="C744" s="39"/>
      <c r="D744" s="38"/>
      <c r="E744" s="42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41"/>
      <c r="S744" s="38"/>
      <c r="T744" s="38"/>
      <c r="U744" s="38"/>
      <c r="V744" s="39"/>
      <c r="W744" s="38"/>
      <c r="X744" s="42"/>
      <c r="Y744" s="39"/>
      <c r="Z744" s="39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</row>
    <row r="745" ht="16.5" customHeight="1">
      <c r="A745" s="38"/>
      <c r="B745" s="38"/>
      <c r="C745" s="39"/>
      <c r="D745" s="38"/>
      <c r="E745" s="42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41"/>
      <c r="S745" s="38"/>
      <c r="T745" s="38"/>
      <c r="U745" s="38"/>
      <c r="V745" s="39"/>
      <c r="W745" s="38"/>
      <c r="X745" s="42"/>
      <c r="Y745" s="39"/>
      <c r="Z745" s="39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</row>
    <row r="746" ht="16.5" customHeight="1">
      <c r="A746" s="38"/>
      <c r="B746" s="38"/>
      <c r="C746" s="39"/>
      <c r="D746" s="38"/>
      <c r="E746" s="42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41"/>
      <c r="S746" s="38"/>
      <c r="T746" s="38"/>
      <c r="U746" s="38"/>
      <c r="V746" s="39"/>
      <c r="W746" s="38"/>
      <c r="X746" s="42"/>
      <c r="Y746" s="39"/>
      <c r="Z746" s="39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</row>
    <row r="747" ht="16.5" customHeight="1">
      <c r="A747" s="38"/>
      <c r="B747" s="38"/>
      <c r="C747" s="39"/>
      <c r="D747" s="38"/>
      <c r="E747" s="42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41"/>
      <c r="S747" s="38"/>
      <c r="T747" s="38"/>
      <c r="U747" s="38"/>
      <c r="V747" s="39"/>
      <c r="W747" s="38"/>
      <c r="X747" s="42"/>
      <c r="Y747" s="39"/>
      <c r="Z747" s="39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</row>
    <row r="748" ht="16.5" customHeight="1">
      <c r="A748" s="38"/>
      <c r="B748" s="38"/>
      <c r="C748" s="39"/>
      <c r="D748" s="38"/>
      <c r="E748" s="42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41"/>
      <c r="S748" s="38"/>
      <c r="T748" s="38"/>
      <c r="U748" s="38"/>
      <c r="V748" s="39"/>
      <c r="W748" s="38"/>
      <c r="X748" s="42"/>
      <c r="Y748" s="39"/>
      <c r="Z748" s="39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</row>
    <row r="749" ht="16.5" customHeight="1">
      <c r="A749" s="38"/>
      <c r="B749" s="38"/>
      <c r="C749" s="39"/>
      <c r="D749" s="38"/>
      <c r="E749" s="42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41"/>
      <c r="S749" s="38"/>
      <c r="T749" s="38"/>
      <c r="U749" s="38"/>
      <c r="V749" s="39"/>
      <c r="W749" s="38"/>
      <c r="X749" s="42"/>
      <c r="Y749" s="39"/>
      <c r="Z749" s="39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</row>
    <row r="750" ht="16.5" customHeight="1">
      <c r="A750" s="38"/>
      <c r="B750" s="38"/>
      <c r="C750" s="39"/>
      <c r="D750" s="38"/>
      <c r="E750" s="42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41"/>
      <c r="S750" s="38"/>
      <c r="T750" s="38"/>
      <c r="U750" s="38"/>
      <c r="V750" s="39"/>
      <c r="W750" s="38"/>
      <c r="X750" s="42"/>
      <c r="Y750" s="39"/>
      <c r="Z750" s="39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</row>
    <row r="751" ht="16.5" customHeight="1">
      <c r="A751" s="38"/>
      <c r="B751" s="38"/>
      <c r="C751" s="39"/>
      <c r="D751" s="38"/>
      <c r="E751" s="42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41"/>
      <c r="S751" s="38"/>
      <c r="T751" s="38"/>
      <c r="U751" s="38"/>
      <c r="V751" s="39"/>
      <c r="W751" s="38"/>
      <c r="X751" s="42"/>
      <c r="Y751" s="39"/>
      <c r="Z751" s="39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</row>
    <row r="752" ht="16.5" customHeight="1">
      <c r="A752" s="38"/>
      <c r="B752" s="38"/>
      <c r="C752" s="39"/>
      <c r="D752" s="38"/>
      <c r="E752" s="42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41"/>
      <c r="S752" s="38"/>
      <c r="T752" s="38"/>
      <c r="U752" s="38"/>
      <c r="V752" s="39"/>
      <c r="W752" s="38"/>
      <c r="X752" s="42"/>
      <c r="Y752" s="39"/>
      <c r="Z752" s="39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</row>
    <row r="753" ht="16.5" customHeight="1">
      <c r="A753" s="38"/>
      <c r="B753" s="38"/>
      <c r="C753" s="39"/>
      <c r="D753" s="38"/>
      <c r="E753" s="42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41"/>
      <c r="S753" s="38"/>
      <c r="T753" s="38"/>
      <c r="U753" s="38"/>
      <c r="V753" s="39"/>
      <c r="W753" s="38"/>
      <c r="X753" s="42"/>
      <c r="Y753" s="39"/>
      <c r="Z753" s="39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</row>
    <row r="754" ht="16.5" customHeight="1">
      <c r="A754" s="38"/>
      <c r="B754" s="38"/>
      <c r="C754" s="39"/>
      <c r="D754" s="38"/>
      <c r="E754" s="42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41"/>
      <c r="S754" s="38"/>
      <c r="T754" s="38"/>
      <c r="U754" s="38"/>
      <c r="V754" s="39"/>
      <c r="W754" s="38"/>
      <c r="X754" s="42"/>
      <c r="Y754" s="39"/>
      <c r="Z754" s="39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</row>
    <row r="755" ht="16.5" customHeight="1">
      <c r="A755" s="38"/>
      <c r="B755" s="38"/>
      <c r="C755" s="39"/>
      <c r="D755" s="38"/>
      <c r="E755" s="42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41"/>
      <c r="S755" s="38"/>
      <c r="T755" s="38"/>
      <c r="U755" s="38"/>
      <c r="V755" s="39"/>
      <c r="W755" s="38"/>
      <c r="X755" s="42"/>
      <c r="Y755" s="39"/>
      <c r="Z755" s="39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</row>
    <row r="756" ht="16.5" customHeight="1">
      <c r="A756" s="38"/>
      <c r="B756" s="38"/>
      <c r="C756" s="39"/>
      <c r="D756" s="38"/>
      <c r="E756" s="42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41"/>
      <c r="S756" s="38"/>
      <c r="T756" s="38"/>
      <c r="U756" s="38"/>
      <c r="V756" s="39"/>
      <c r="W756" s="38"/>
      <c r="X756" s="42"/>
      <c r="Y756" s="39"/>
      <c r="Z756" s="39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</row>
    <row r="757" ht="16.5" customHeight="1">
      <c r="A757" s="38"/>
      <c r="B757" s="38"/>
      <c r="C757" s="39"/>
      <c r="D757" s="38"/>
      <c r="E757" s="42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41"/>
      <c r="S757" s="38"/>
      <c r="T757" s="38"/>
      <c r="U757" s="38"/>
      <c r="V757" s="39"/>
      <c r="W757" s="38"/>
      <c r="X757" s="42"/>
      <c r="Y757" s="39"/>
      <c r="Z757" s="39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</row>
    <row r="758" ht="16.5" customHeight="1">
      <c r="A758" s="38"/>
      <c r="B758" s="38"/>
      <c r="C758" s="39"/>
      <c r="D758" s="38"/>
      <c r="E758" s="42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41"/>
      <c r="S758" s="38"/>
      <c r="T758" s="38"/>
      <c r="U758" s="38"/>
      <c r="V758" s="39"/>
      <c r="W758" s="38"/>
      <c r="X758" s="42"/>
      <c r="Y758" s="39"/>
      <c r="Z758" s="39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</row>
    <row r="759" ht="16.5" customHeight="1">
      <c r="A759" s="38"/>
      <c r="B759" s="38"/>
      <c r="C759" s="39"/>
      <c r="D759" s="38"/>
      <c r="E759" s="42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41"/>
      <c r="S759" s="38"/>
      <c r="T759" s="38"/>
      <c r="U759" s="38"/>
      <c r="V759" s="39"/>
      <c r="W759" s="38"/>
      <c r="X759" s="42"/>
      <c r="Y759" s="39"/>
      <c r="Z759" s="39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</row>
    <row r="760" ht="16.5" customHeight="1">
      <c r="A760" s="38"/>
      <c r="B760" s="38"/>
      <c r="C760" s="39"/>
      <c r="D760" s="38"/>
      <c r="E760" s="42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41"/>
      <c r="S760" s="38"/>
      <c r="T760" s="38"/>
      <c r="U760" s="38"/>
      <c r="V760" s="39"/>
      <c r="W760" s="38"/>
      <c r="X760" s="42"/>
      <c r="Y760" s="39"/>
      <c r="Z760" s="39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</row>
    <row r="761" ht="16.5" customHeight="1">
      <c r="A761" s="38"/>
      <c r="B761" s="38"/>
      <c r="C761" s="39"/>
      <c r="D761" s="38"/>
      <c r="E761" s="42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41"/>
      <c r="S761" s="38"/>
      <c r="T761" s="38"/>
      <c r="U761" s="38"/>
      <c r="V761" s="39"/>
      <c r="W761" s="38"/>
      <c r="X761" s="42"/>
      <c r="Y761" s="39"/>
      <c r="Z761" s="39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</row>
    <row r="762" ht="16.5" customHeight="1">
      <c r="A762" s="38"/>
      <c r="B762" s="38"/>
      <c r="C762" s="39"/>
      <c r="D762" s="38"/>
      <c r="E762" s="42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41"/>
      <c r="S762" s="38"/>
      <c r="T762" s="38"/>
      <c r="U762" s="38"/>
      <c r="V762" s="39"/>
      <c r="W762" s="38"/>
      <c r="X762" s="42"/>
      <c r="Y762" s="39"/>
      <c r="Z762" s="39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</row>
    <row r="763" ht="16.5" customHeight="1">
      <c r="A763" s="38"/>
      <c r="B763" s="38"/>
      <c r="C763" s="39"/>
      <c r="D763" s="38"/>
      <c r="E763" s="42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41"/>
      <c r="S763" s="38"/>
      <c r="T763" s="38"/>
      <c r="U763" s="38"/>
      <c r="V763" s="39"/>
      <c r="W763" s="38"/>
      <c r="X763" s="42"/>
      <c r="Y763" s="39"/>
      <c r="Z763" s="39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</row>
    <row r="764" ht="16.5" customHeight="1">
      <c r="A764" s="38"/>
      <c r="B764" s="38"/>
      <c r="C764" s="39"/>
      <c r="D764" s="38"/>
      <c r="E764" s="42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41"/>
      <c r="S764" s="38"/>
      <c r="T764" s="38"/>
      <c r="U764" s="38"/>
      <c r="V764" s="39"/>
      <c r="W764" s="38"/>
      <c r="X764" s="42"/>
      <c r="Y764" s="39"/>
      <c r="Z764" s="39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</row>
    <row r="765" ht="16.5" customHeight="1">
      <c r="A765" s="38"/>
      <c r="B765" s="38"/>
      <c r="C765" s="39"/>
      <c r="D765" s="38"/>
      <c r="E765" s="42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41"/>
      <c r="S765" s="38"/>
      <c r="T765" s="38"/>
      <c r="U765" s="38"/>
      <c r="V765" s="39"/>
      <c r="W765" s="38"/>
      <c r="X765" s="42"/>
      <c r="Y765" s="39"/>
      <c r="Z765" s="39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</row>
    <row r="766" ht="16.5" customHeight="1">
      <c r="A766" s="38"/>
      <c r="B766" s="38"/>
      <c r="C766" s="39"/>
      <c r="D766" s="38"/>
      <c r="E766" s="42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41"/>
      <c r="S766" s="38"/>
      <c r="T766" s="38"/>
      <c r="U766" s="38"/>
      <c r="V766" s="39"/>
      <c r="W766" s="38"/>
      <c r="X766" s="42"/>
      <c r="Y766" s="39"/>
      <c r="Z766" s="39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</row>
    <row r="767" ht="16.5" customHeight="1">
      <c r="A767" s="38"/>
      <c r="B767" s="38"/>
      <c r="C767" s="39"/>
      <c r="D767" s="38"/>
      <c r="E767" s="42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41"/>
      <c r="S767" s="38"/>
      <c r="T767" s="38"/>
      <c r="U767" s="38"/>
      <c r="V767" s="39"/>
      <c r="W767" s="38"/>
      <c r="X767" s="42"/>
      <c r="Y767" s="39"/>
      <c r="Z767" s="39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</row>
    <row r="768" ht="16.5" customHeight="1">
      <c r="A768" s="38"/>
      <c r="B768" s="38"/>
      <c r="C768" s="39"/>
      <c r="D768" s="38"/>
      <c r="E768" s="42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41"/>
      <c r="S768" s="38"/>
      <c r="T768" s="38"/>
      <c r="U768" s="38"/>
      <c r="V768" s="39"/>
      <c r="W768" s="38"/>
      <c r="X768" s="42"/>
      <c r="Y768" s="39"/>
      <c r="Z768" s="39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</row>
    <row r="769" ht="16.5" customHeight="1">
      <c r="A769" s="38"/>
      <c r="B769" s="38"/>
      <c r="C769" s="39"/>
      <c r="D769" s="38"/>
      <c r="E769" s="42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41"/>
      <c r="S769" s="38"/>
      <c r="T769" s="38"/>
      <c r="U769" s="38"/>
      <c r="V769" s="39"/>
      <c r="W769" s="38"/>
      <c r="X769" s="42"/>
      <c r="Y769" s="39"/>
      <c r="Z769" s="39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</row>
    <row r="770" ht="16.5" customHeight="1">
      <c r="A770" s="38"/>
      <c r="B770" s="38"/>
      <c r="C770" s="39"/>
      <c r="D770" s="38"/>
      <c r="E770" s="42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41"/>
      <c r="S770" s="38"/>
      <c r="T770" s="38"/>
      <c r="U770" s="38"/>
      <c r="V770" s="39"/>
      <c r="W770" s="38"/>
      <c r="X770" s="42"/>
      <c r="Y770" s="39"/>
      <c r="Z770" s="39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</row>
    <row r="771" ht="16.5" customHeight="1">
      <c r="A771" s="38"/>
      <c r="B771" s="38"/>
      <c r="C771" s="39"/>
      <c r="D771" s="38"/>
      <c r="E771" s="42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41"/>
      <c r="S771" s="38"/>
      <c r="T771" s="38"/>
      <c r="U771" s="38"/>
      <c r="V771" s="39"/>
      <c r="W771" s="38"/>
      <c r="X771" s="42"/>
      <c r="Y771" s="39"/>
      <c r="Z771" s="39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</row>
    <row r="772" ht="16.5" customHeight="1">
      <c r="A772" s="38"/>
      <c r="B772" s="38"/>
      <c r="C772" s="39"/>
      <c r="D772" s="38"/>
      <c r="E772" s="42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41"/>
      <c r="S772" s="38"/>
      <c r="T772" s="38"/>
      <c r="U772" s="38"/>
      <c r="V772" s="39"/>
      <c r="W772" s="38"/>
      <c r="X772" s="42"/>
      <c r="Y772" s="39"/>
      <c r="Z772" s="39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</row>
    <row r="773" ht="16.5" customHeight="1">
      <c r="A773" s="38"/>
      <c r="B773" s="38"/>
      <c r="C773" s="39"/>
      <c r="D773" s="38"/>
      <c r="E773" s="42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41"/>
      <c r="S773" s="38"/>
      <c r="T773" s="38"/>
      <c r="U773" s="38"/>
      <c r="V773" s="39"/>
      <c r="W773" s="38"/>
      <c r="X773" s="42"/>
      <c r="Y773" s="39"/>
      <c r="Z773" s="39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</row>
    <row r="774" ht="16.5" customHeight="1">
      <c r="A774" s="38"/>
      <c r="B774" s="38"/>
      <c r="C774" s="39"/>
      <c r="D774" s="38"/>
      <c r="E774" s="42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41"/>
      <c r="S774" s="38"/>
      <c r="T774" s="38"/>
      <c r="U774" s="38"/>
      <c r="V774" s="39"/>
      <c r="W774" s="38"/>
      <c r="X774" s="42"/>
      <c r="Y774" s="39"/>
      <c r="Z774" s="39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</row>
    <row r="775" ht="16.5" customHeight="1">
      <c r="A775" s="38"/>
      <c r="B775" s="38"/>
      <c r="C775" s="39"/>
      <c r="D775" s="38"/>
      <c r="E775" s="42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41"/>
      <c r="S775" s="38"/>
      <c r="T775" s="38"/>
      <c r="U775" s="38"/>
      <c r="V775" s="39"/>
      <c r="W775" s="38"/>
      <c r="X775" s="42"/>
      <c r="Y775" s="39"/>
      <c r="Z775" s="39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</row>
    <row r="776" ht="16.5" customHeight="1">
      <c r="A776" s="38"/>
      <c r="B776" s="38"/>
      <c r="C776" s="39"/>
      <c r="D776" s="38"/>
      <c r="E776" s="42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41"/>
      <c r="S776" s="38"/>
      <c r="T776" s="38"/>
      <c r="U776" s="38"/>
      <c r="V776" s="39"/>
      <c r="W776" s="38"/>
      <c r="X776" s="42"/>
      <c r="Y776" s="39"/>
      <c r="Z776" s="39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</row>
    <row r="777" ht="16.5" customHeight="1">
      <c r="A777" s="38"/>
      <c r="B777" s="38"/>
      <c r="C777" s="39"/>
      <c r="D777" s="38"/>
      <c r="E777" s="42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41"/>
      <c r="S777" s="38"/>
      <c r="T777" s="38"/>
      <c r="U777" s="38"/>
      <c r="V777" s="39"/>
      <c r="W777" s="38"/>
      <c r="X777" s="42"/>
      <c r="Y777" s="39"/>
      <c r="Z777" s="39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</row>
    <row r="778" ht="16.5" customHeight="1">
      <c r="A778" s="38"/>
      <c r="B778" s="38"/>
      <c r="C778" s="39"/>
      <c r="D778" s="38"/>
      <c r="E778" s="42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41"/>
      <c r="S778" s="38"/>
      <c r="T778" s="38"/>
      <c r="U778" s="38"/>
      <c r="V778" s="39"/>
      <c r="W778" s="38"/>
      <c r="X778" s="42"/>
      <c r="Y778" s="39"/>
      <c r="Z778" s="39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</row>
    <row r="779" ht="16.5" customHeight="1">
      <c r="A779" s="38"/>
      <c r="B779" s="38"/>
      <c r="C779" s="39"/>
      <c r="D779" s="38"/>
      <c r="E779" s="42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41"/>
      <c r="S779" s="38"/>
      <c r="T779" s="38"/>
      <c r="U779" s="38"/>
      <c r="V779" s="39"/>
      <c r="W779" s="38"/>
      <c r="X779" s="42"/>
      <c r="Y779" s="39"/>
      <c r="Z779" s="39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</row>
    <row r="780" ht="16.5" customHeight="1">
      <c r="A780" s="38"/>
      <c r="B780" s="38"/>
      <c r="C780" s="39"/>
      <c r="D780" s="38"/>
      <c r="E780" s="42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41"/>
      <c r="S780" s="38"/>
      <c r="T780" s="38"/>
      <c r="U780" s="38"/>
      <c r="V780" s="39"/>
      <c r="W780" s="38"/>
      <c r="X780" s="42"/>
      <c r="Y780" s="39"/>
      <c r="Z780" s="39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</row>
    <row r="781" ht="16.5" customHeight="1">
      <c r="A781" s="38"/>
      <c r="B781" s="38"/>
      <c r="C781" s="39"/>
      <c r="D781" s="38"/>
      <c r="E781" s="42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41"/>
      <c r="S781" s="38"/>
      <c r="T781" s="38"/>
      <c r="U781" s="38"/>
      <c r="V781" s="39"/>
      <c r="W781" s="38"/>
      <c r="X781" s="42"/>
      <c r="Y781" s="39"/>
      <c r="Z781" s="39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</row>
    <row r="782" ht="16.5" customHeight="1">
      <c r="A782" s="38"/>
      <c r="B782" s="38"/>
      <c r="C782" s="39"/>
      <c r="D782" s="38"/>
      <c r="E782" s="42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41"/>
      <c r="S782" s="38"/>
      <c r="T782" s="38"/>
      <c r="U782" s="38"/>
      <c r="V782" s="39"/>
      <c r="W782" s="38"/>
      <c r="X782" s="42"/>
      <c r="Y782" s="39"/>
      <c r="Z782" s="39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</row>
    <row r="783" ht="16.5" customHeight="1">
      <c r="A783" s="38"/>
      <c r="B783" s="38"/>
      <c r="C783" s="39"/>
      <c r="D783" s="38"/>
      <c r="E783" s="42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41"/>
      <c r="S783" s="38"/>
      <c r="T783" s="38"/>
      <c r="U783" s="38"/>
      <c r="V783" s="39"/>
      <c r="W783" s="38"/>
      <c r="X783" s="42"/>
      <c r="Y783" s="39"/>
      <c r="Z783" s="39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</row>
    <row r="784" ht="16.5" customHeight="1">
      <c r="A784" s="38"/>
      <c r="B784" s="38"/>
      <c r="C784" s="39"/>
      <c r="D784" s="38"/>
      <c r="E784" s="42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41"/>
      <c r="S784" s="38"/>
      <c r="T784" s="38"/>
      <c r="U784" s="38"/>
      <c r="V784" s="39"/>
      <c r="W784" s="38"/>
      <c r="X784" s="42"/>
      <c r="Y784" s="39"/>
      <c r="Z784" s="39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</row>
    <row r="785" ht="16.5" customHeight="1">
      <c r="A785" s="38"/>
      <c r="B785" s="38"/>
      <c r="C785" s="39"/>
      <c r="D785" s="38"/>
      <c r="E785" s="42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41"/>
      <c r="S785" s="38"/>
      <c r="T785" s="38"/>
      <c r="U785" s="38"/>
      <c r="V785" s="39"/>
      <c r="W785" s="38"/>
      <c r="X785" s="42"/>
      <c r="Y785" s="39"/>
      <c r="Z785" s="39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</row>
    <row r="786" ht="16.5" customHeight="1">
      <c r="A786" s="38"/>
      <c r="B786" s="38"/>
      <c r="C786" s="39"/>
      <c r="D786" s="38"/>
      <c r="E786" s="42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41"/>
      <c r="S786" s="38"/>
      <c r="T786" s="38"/>
      <c r="U786" s="38"/>
      <c r="V786" s="39"/>
      <c r="W786" s="38"/>
      <c r="X786" s="42"/>
      <c r="Y786" s="39"/>
      <c r="Z786" s="39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</row>
    <row r="787" ht="16.5" customHeight="1">
      <c r="A787" s="38"/>
      <c r="B787" s="38"/>
      <c r="C787" s="39"/>
      <c r="D787" s="38"/>
      <c r="E787" s="42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41"/>
      <c r="S787" s="38"/>
      <c r="T787" s="38"/>
      <c r="U787" s="38"/>
      <c r="V787" s="39"/>
      <c r="W787" s="38"/>
      <c r="X787" s="42"/>
      <c r="Y787" s="39"/>
      <c r="Z787" s="39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</row>
    <row r="788" ht="16.5" customHeight="1">
      <c r="A788" s="38"/>
      <c r="B788" s="38"/>
      <c r="C788" s="39"/>
      <c r="D788" s="38"/>
      <c r="E788" s="42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41"/>
      <c r="S788" s="38"/>
      <c r="T788" s="38"/>
      <c r="U788" s="38"/>
      <c r="V788" s="39"/>
      <c r="W788" s="38"/>
      <c r="X788" s="42"/>
      <c r="Y788" s="39"/>
      <c r="Z788" s="39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</row>
    <row r="789" ht="16.5" customHeight="1">
      <c r="A789" s="38"/>
      <c r="B789" s="38"/>
      <c r="C789" s="39"/>
      <c r="D789" s="38"/>
      <c r="E789" s="42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41"/>
      <c r="S789" s="38"/>
      <c r="T789" s="38"/>
      <c r="U789" s="38"/>
      <c r="V789" s="39"/>
      <c r="W789" s="38"/>
      <c r="X789" s="42"/>
      <c r="Y789" s="39"/>
      <c r="Z789" s="39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</row>
    <row r="790" ht="16.5" customHeight="1">
      <c r="A790" s="38"/>
      <c r="B790" s="38"/>
      <c r="C790" s="39"/>
      <c r="D790" s="38"/>
      <c r="E790" s="42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41"/>
      <c r="S790" s="38"/>
      <c r="T790" s="38"/>
      <c r="U790" s="38"/>
      <c r="V790" s="39"/>
      <c r="W790" s="38"/>
      <c r="X790" s="42"/>
      <c r="Y790" s="39"/>
      <c r="Z790" s="39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</row>
    <row r="791" ht="16.5" customHeight="1">
      <c r="A791" s="38"/>
      <c r="B791" s="38"/>
      <c r="C791" s="39"/>
      <c r="D791" s="38"/>
      <c r="E791" s="42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41"/>
      <c r="S791" s="38"/>
      <c r="T791" s="38"/>
      <c r="U791" s="38"/>
      <c r="V791" s="39"/>
      <c r="W791" s="38"/>
      <c r="X791" s="42"/>
      <c r="Y791" s="39"/>
      <c r="Z791" s="39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</row>
    <row r="792" ht="16.5" customHeight="1">
      <c r="A792" s="38"/>
      <c r="B792" s="38"/>
      <c r="C792" s="39"/>
      <c r="D792" s="38"/>
      <c r="E792" s="42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41"/>
      <c r="S792" s="38"/>
      <c r="T792" s="38"/>
      <c r="U792" s="38"/>
      <c r="V792" s="39"/>
      <c r="W792" s="38"/>
      <c r="X792" s="42"/>
      <c r="Y792" s="39"/>
      <c r="Z792" s="39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</row>
    <row r="793" ht="16.5" customHeight="1">
      <c r="A793" s="38"/>
      <c r="B793" s="38"/>
      <c r="C793" s="39"/>
      <c r="D793" s="38"/>
      <c r="E793" s="42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41"/>
      <c r="S793" s="38"/>
      <c r="T793" s="38"/>
      <c r="U793" s="38"/>
      <c r="V793" s="39"/>
      <c r="W793" s="38"/>
      <c r="X793" s="42"/>
      <c r="Y793" s="39"/>
      <c r="Z793" s="39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</row>
    <row r="794" ht="16.5" customHeight="1">
      <c r="A794" s="38"/>
      <c r="B794" s="38"/>
      <c r="C794" s="39"/>
      <c r="D794" s="38"/>
      <c r="E794" s="42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41"/>
      <c r="S794" s="38"/>
      <c r="T794" s="38"/>
      <c r="U794" s="38"/>
      <c r="V794" s="39"/>
      <c r="W794" s="38"/>
      <c r="X794" s="42"/>
      <c r="Y794" s="39"/>
      <c r="Z794" s="39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</row>
    <row r="795" ht="16.5" customHeight="1">
      <c r="A795" s="38"/>
      <c r="B795" s="38"/>
      <c r="C795" s="39"/>
      <c r="D795" s="38"/>
      <c r="E795" s="42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41"/>
      <c r="S795" s="38"/>
      <c r="T795" s="38"/>
      <c r="U795" s="38"/>
      <c r="V795" s="39"/>
      <c r="W795" s="38"/>
      <c r="X795" s="42"/>
      <c r="Y795" s="39"/>
      <c r="Z795" s="39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</row>
    <row r="796" ht="16.5" customHeight="1">
      <c r="A796" s="38"/>
      <c r="B796" s="38"/>
      <c r="C796" s="39"/>
      <c r="D796" s="38"/>
      <c r="E796" s="42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41"/>
      <c r="S796" s="38"/>
      <c r="T796" s="38"/>
      <c r="U796" s="38"/>
      <c r="V796" s="39"/>
      <c r="W796" s="38"/>
      <c r="X796" s="42"/>
      <c r="Y796" s="39"/>
      <c r="Z796" s="39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</row>
    <row r="797" ht="16.5" customHeight="1">
      <c r="A797" s="38"/>
      <c r="B797" s="38"/>
      <c r="C797" s="39"/>
      <c r="D797" s="38"/>
      <c r="E797" s="42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41"/>
      <c r="S797" s="38"/>
      <c r="T797" s="38"/>
      <c r="U797" s="38"/>
      <c r="V797" s="39"/>
      <c r="W797" s="38"/>
      <c r="X797" s="42"/>
      <c r="Y797" s="39"/>
      <c r="Z797" s="39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</row>
    <row r="798" ht="16.5" customHeight="1">
      <c r="A798" s="38"/>
      <c r="B798" s="38"/>
      <c r="C798" s="39"/>
      <c r="D798" s="38"/>
      <c r="E798" s="42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41"/>
      <c r="S798" s="38"/>
      <c r="T798" s="38"/>
      <c r="U798" s="38"/>
      <c r="V798" s="39"/>
      <c r="W798" s="38"/>
      <c r="X798" s="42"/>
      <c r="Y798" s="39"/>
      <c r="Z798" s="39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</row>
    <row r="799" ht="16.5" customHeight="1">
      <c r="A799" s="38"/>
      <c r="B799" s="38"/>
      <c r="C799" s="39"/>
      <c r="D799" s="38"/>
      <c r="E799" s="42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41"/>
      <c r="S799" s="38"/>
      <c r="T799" s="38"/>
      <c r="U799" s="38"/>
      <c r="V799" s="39"/>
      <c r="W799" s="38"/>
      <c r="X799" s="42"/>
      <c r="Y799" s="39"/>
      <c r="Z799" s="39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</row>
    <row r="800" ht="16.5" customHeight="1">
      <c r="A800" s="38"/>
      <c r="B800" s="38"/>
      <c r="C800" s="39"/>
      <c r="D800" s="38"/>
      <c r="E800" s="42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41"/>
      <c r="S800" s="38"/>
      <c r="T800" s="38"/>
      <c r="U800" s="38"/>
      <c r="V800" s="39"/>
      <c r="W800" s="38"/>
      <c r="X800" s="42"/>
      <c r="Y800" s="39"/>
      <c r="Z800" s="39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</row>
    <row r="801" ht="16.5" customHeight="1">
      <c r="A801" s="38"/>
      <c r="B801" s="38"/>
      <c r="C801" s="39"/>
      <c r="D801" s="38"/>
      <c r="E801" s="42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41"/>
      <c r="S801" s="38"/>
      <c r="T801" s="38"/>
      <c r="U801" s="38"/>
      <c r="V801" s="39"/>
      <c r="W801" s="38"/>
      <c r="X801" s="42"/>
      <c r="Y801" s="39"/>
      <c r="Z801" s="39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</row>
    <row r="802" ht="16.5" customHeight="1">
      <c r="A802" s="38"/>
      <c r="B802" s="38"/>
      <c r="C802" s="39"/>
      <c r="D802" s="38"/>
      <c r="E802" s="42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41"/>
      <c r="S802" s="38"/>
      <c r="T802" s="38"/>
      <c r="U802" s="38"/>
      <c r="V802" s="39"/>
      <c r="W802" s="38"/>
      <c r="X802" s="42"/>
      <c r="Y802" s="39"/>
      <c r="Z802" s="39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</row>
    <row r="803" ht="16.5" customHeight="1">
      <c r="A803" s="38"/>
      <c r="B803" s="38"/>
      <c r="C803" s="39"/>
      <c r="D803" s="38"/>
      <c r="E803" s="42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41"/>
      <c r="S803" s="38"/>
      <c r="T803" s="38"/>
      <c r="U803" s="38"/>
      <c r="V803" s="39"/>
      <c r="W803" s="38"/>
      <c r="X803" s="42"/>
      <c r="Y803" s="39"/>
      <c r="Z803" s="39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</row>
    <row r="804" ht="16.5" customHeight="1">
      <c r="A804" s="38"/>
      <c r="B804" s="38"/>
      <c r="C804" s="39"/>
      <c r="D804" s="38"/>
      <c r="E804" s="42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41"/>
      <c r="S804" s="38"/>
      <c r="T804" s="38"/>
      <c r="U804" s="38"/>
      <c r="V804" s="39"/>
      <c r="W804" s="38"/>
      <c r="X804" s="42"/>
      <c r="Y804" s="39"/>
      <c r="Z804" s="39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</row>
    <row r="805" ht="16.5" customHeight="1">
      <c r="A805" s="38"/>
      <c r="B805" s="38"/>
      <c r="C805" s="39"/>
      <c r="D805" s="38"/>
      <c r="E805" s="42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41"/>
      <c r="S805" s="38"/>
      <c r="T805" s="38"/>
      <c r="U805" s="38"/>
      <c r="V805" s="39"/>
      <c r="W805" s="38"/>
      <c r="X805" s="42"/>
      <c r="Y805" s="39"/>
      <c r="Z805" s="39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</row>
    <row r="806" ht="16.5" customHeight="1">
      <c r="A806" s="38"/>
      <c r="B806" s="38"/>
      <c r="C806" s="39"/>
      <c r="D806" s="38"/>
      <c r="E806" s="42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41"/>
      <c r="S806" s="38"/>
      <c r="T806" s="38"/>
      <c r="U806" s="38"/>
      <c r="V806" s="39"/>
      <c r="W806" s="38"/>
      <c r="X806" s="42"/>
      <c r="Y806" s="39"/>
      <c r="Z806" s="39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</row>
    <row r="807" ht="16.5" customHeight="1">
      <c r="A807" s="38"/>
      <c r="B807" s="38"/>
      <c r="C807" s="39"/>
      <c r="D807" s="38"/>
      <c r="E807" s="42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41"/>
      <c r="S807" s="38"/>
      <c r="T807" s="38"/>
      <c r="U807" s="38"/>
      <c r="V807" s="39"/>
      <c r="W807" s="38"/>
      <c r="X807" s="42"/>
      <c r="Y807" s="39"/>
      <c r="Z807" s="39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</row>
    <row r="808" ht="16.5" customHeight="1">
      <c r="A808" s="38"/>
      <c r="B808" s="38"/>
      <c r="C808" s="39"/>
      <c r="D808" s="38"/>
      <c r="E808" s="42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41"/>
      <c r="S808" s="38"/>
      <c r="T808" s="38"/>
      <c r="U808" s="38"/>
      <c r="V808" s="39"/>
      <c r="W808" s="38"/>
      <c r="X808" s="42"/>
      <c r="Y808" s="39"/>
      <c r="Z808" s="39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</row>
    <row r="809" ht="16.5" customHeight="1">
      <c r="A809" s="38"/>
      <c r="B809" s="38"/>
      <c r="C809" s="39"/>
      <c r="D809" s="38"/>
      <c r="E809" s="42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41"/>
      <c r="S809" s="38"/>
      <c r="T809" s="38"/>
      <c r="U809" s="38"/>
      <c r="V809" s="39"/>
      <c r="W809" s="38"/>
      <c r="X809" s="42"/>
      <c r="Y809" s="39"/>
      <c r="Z809" s="39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</row>
    <row r="810" ht="16.5" customHeight="1">
      <c r="A810" s="38"/>
      <c r="B810" s="38"/>
      <c r="C810" s="39"/>
      <c r="D810" s="38"/>
      <c r="E810" s="42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41"/>
      <c r="S810" s="38"/>
      <c r="T810" s="38"/>
      <c r="U810" s="38"/>
      <c r="V810" s="39"/>
      <c r="W810" s="38"/>
      <c r="X810" s="42"/>
      <c r="Y810" s="39"/>
      <c r="Z810" s="39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</row>
    <row r="811" ht="16.5" customHeight="1">
      <c r="A811" s="38"/>
      <c r="B811" s="38"/>
      <c r="C811" s="39"/>
      <c r="D811" s="38"/>
      <c r="E811" s="42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41"/>
      <c r="S811" s="38"/>
      <c r="T811" s="38"/>
      <c r="U811" s="38"/>
      <c r="V811" s="39"/>
      <c r="W811" s="38"/>
      <c r="X811" s="42"/>
      <c r="Y811" s="39"/>
      <c r="Z811" s="39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</row>
    <row r="812" ht="16.5" customHeight="1">
      <c r="A812" s="38"/>
      <c r="B812" s="38"/>
      <c r="C812" s="39"/>
      <c r="D812" s="38"/>
      <c r="E812" s="42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41"/>
      <c r="S812" s="38"/>
      <c r="T812" s="38"/>
      <c r="U812" s="38"/>
      <c r="V812" s="39"/>
      <c r="W812" s="38"/>
      <c r="X812" s="42"/>
      <c r="Y812" s="39"/>
      <c r="Z812" s="39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</row>
    <row r="813" ht="16.5" customHeight="1">
      <c r="A813" s="38"/>
      <c r="B813" s="38"/>
      <c r="C813" s="39"/>
      <c r="D813" s="38"/>
      <c r="E813" s="42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41"/>
      <c r="S813" s="38"/>
      <c r="T813" s="38"/>
      <c r="U813" s="38"/>
      <c r="V813" s="39"/>
      <c r="W813" s="38"/>
      <c r="X813" s="42"/>
      <c r="Y813" s="39"/>
      <c r="Z813" s="39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</row>
    <row r="814" ht="16.5" customHeight="1">
      <c r="A814" s="38"/>
      <c r="B814" s="38"/>
      <c r="C814" s="39"/>
      <c r="D814" s="38"/>
      <c r="E814" s="42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41"/>
      <c r="S814" s="38"/>
      <c r="T814" s="38"/>
      <c r="U814" s="38"/>
      <c r="V814" s="39"/>
      <c r="W814" s="38"/>
      <c r="X814" s="42"/>
      <c r="Y814" s="39"/>
      <c r="Z814" s="39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</row>
    <row r="815" ht="16.5" customHeight="1">
      <c r="A815" s="38"/>
      <c r="B815" s="38"/>
      <c r="C815" s="39"/>
      <c r="D815" s="38"/>
      <c r="E815" s="42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41"/>
      <c r="S815" s="38"/>
      <c r="T815" s="38"/>
      <c r="U815" s="38"/>
      <c r="V815" s="39"/>
      <c r="W815" s="38"/>
      <c r="X815" s="42"/>
      <c r="Y815" s="39"/>
      <c r="Z815" s="39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</row>
    <row r="816" ht="16.5" customHeight="1">
      <c r="A816" s="38"/>
      <c r="B816" s="38"/>
      <c r="C816" s="39"/>
      <c r="D816" s="38"/>
      <c r="E816" s="42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41"/>
      <c r="S816" s="38"/>
      <c r="T816" s="38"/>
      <c r="U816" s="38"/>
      <c r="V816" s="39"/>
      <c r="W816" s="38"/>
      <c r="X816" s="42"/>
      <c r="Y816" s="39"/>
      <c r="Z816" s="39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</row>
    <row r="817" ht="16.5" customHeight="1">
      <c r="A817" s="38"/>
      <c r="B817" s="38"/>
      <c r="C817" s="39"/>
      <c r="D817" s="38"/>
      <c r="E817" s="42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41"/>
      <c r="S817" s="38"/>
      <c r="T817" s="38"/>
      <c r="U817" s="38"/>
      <c r="V817" s="39"/>
      <c r="W817" s="38"/>
      <c r="X817" s="42"/>
      <c r="Y817" s="39"/>
      <c r="Z817" s="39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</row>
    <row r="818" ht="16.5" customHeight="1">
      <c r="A818" s="38"/>
      <c r="B818" s="38"/>
      <c r="C818" s="39"/>
      <c r="D818" s="38"/>
      <c r="E818" s="42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41"/>
      <c r="S818" s="38"/>
      <c r="T818" s="38"/>
      <c r="U818" s="38"/>
      <c r="V818" s="39"/>
      <c r="W818" s="38"/>
      <c r="X818" s="42"/>
      <c r="Y818" s="39"/>
      <c r="Z818" s="39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</row>
    <row r="819" ht="16.5" customHeight="1">
      <c r="A819" s="38"/>
      <c r="B819" s="38"/>
      <c r="C819" s="39"/>
      <c r="D819" s="38"/>
      <c r="E819" s="42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41"/>
      <c r="S819" s="38"/>
      <c r="T819" s="38"/>
      <c r="U819" s="38"/>
      <c r="V819" s="39"/>
      <c r="W819" s="38"/>
      <c r="X819" s="42"/>
      <c r="Y819" s="39"/>
      <c r="Z819" s="39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</row>
    <row r="820" ht="16.5" customHeight="1">
      <c r="A820" s="38"/>
      <c r="B820" s="38"/>
      <c r="C820" s="39"/>
      <c r="D820" s="38"/>
      <c r="E820" s="42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41"/>
      <c r="S820" s="38"/>
      <c r="T820" s="38"/>
      <c r="U820" s="38"/>
      <c r="V820" s="39"/>
      <c r="W820" s="38"/>
      <c r="X820" s="42"/>
      <c r="Y820" s="39"/>
      <c r="Z820" s="39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</row>
    <row r="821" ht="16.5" customHeight="1">
      <c r="A821" s="38"/>
      <c r="B821" s="38"/>
      <c r="C821" s="39"/>
      <c r="D821" s="38"/>
      <c r="E821" s="42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41"/>
      <c r="S821" s="38"/>
      <c r="T821" s="38"/>
      <c r="U821" s="38"/>
      <c r="V821" s="39"/>
      <c r="W821" s="38"/>
      <c r="X821" s="42"/>
      <c r="Y821" s="39"/>
      <c r="Z821" s="39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</row>
    <row r="822" ht="16.5" customHeight="1">
      <c r="A822" s="38"/>
      <c r="B822" s="38"/>
      <c r="C822" s="39"/>
      <c r="D822" s="38"/>
      <c r="E822" s="42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41"/>
      <c r="S822" s="38"/>
      <c r="T822" s="38"/>
      <c r="U822" s="38"/>
      <c r="V822" s="39"/>
      <c r="W822" s="38"/>
      <c r="X822" s="42"/>
      <c r="Y822" s="39"/>
      <c r="Z822" s="39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</row>
    <row r="823" ht="16.5" customHeight="1">
      <c r="A823" s="38"/>
      <c r="B823" s="38"/>
      <c r="C823" s="39"/>
      <c r="D823" s="38"/>
      <c r="E823" s="42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41"/>
      <c r="S823" s="38"/>
      <c r="T823" s="38"/>
      <c r="U823" s="38"/>
      <c r="V823" s="39"/>
      <c r="W823" s="38"/>
      <c r="X823" s="42"/>
      <c r="Y823" s="39"/>
      <c r="Z823" s="39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</row>
    <row r="824" ht="16.5" customHeight="1">
      <c r="A824" s="38"/>
      <c r="B824" s="38"/>
      <c r="C824" s="39"/>
      <c r="D824" s="38"/>
      <c r="E824" s="42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41"/>
      <c r="S824" s="38"/>
      <c r="T824" s="38"/>
      <c r="U824" s="38"/>
      <c r="V824" s="39"/>
      <c r="W824" s="38"/>
      <c r="X824" s="42"/>
      <c r="Y824" s="39"/>
      <c r="Z824" s="39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</row>
    <row r="825" ht="16.5" customHeight="1">
      <c r="A825" s="38"/>
      <c r="B825" s="38"/>
      <c r="C825" s="39"/>
      <c r="D825" s="38"/>
      <c r="E825" s="42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41"/>
      <c r="S825" s="38"/>
      <c r="T825" s="38"/>
      <c r="U825" s="38"/>
      <c r="V825" s="39"/>
      <c r="W825" s="38"/>
      <c r="X825" s="42"/>
      <c r="Y825" s="39"/>
      <c r="Z825" s="39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</row>
    <row r="826" ht="16.5" customHeight="1">
      <c r="A826" s="38"/>
      <c r="B826" s="38"/>
      <c r="C826" s="39"/>
      <c r="D826" s="38"/>
      <c r="E826" s="42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41"/>
      <c r="S826" s="38"/>
      <c r="T826" s="38"/>
      <c r="U826" s="38"/>
      <c r="V826" s="39"/>
      <c r="W826" s="38"/>
      <c r="X826" s="42"/>
      <c r="Y826" s="39"/>
      <c r="Z826" s="39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</row>
    <row r="827" ht="16.5" customHeight="1">
      <c r="A827" s="38"/>
      <c r="B827" s="38"/>
      <c r="C827" s="39"/>
      <c r="D827" s="38"/>
      <c r="E827" s="42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41"/>
      <c r="S827" s="38"/>
      <c r="T827" s="38"/>
      <c r="U827" s="38"/>
      <c r="V827" s="39"/>
      <c r="W827" s="38"/>
      <c r="X827" s="42"/>
      <c r="Y827" s="39"/>
      <c r="Z827" s="39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</row>
    <row r="828" ht="16.5" customHeight="1">
      <c r="A828" s="38"/>
      <c r="B828" s="38"/>
      <c r="C828" s="39"/>
      <c r="D828" s="38"/>
      <c r="E828" s="42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41"/>
      <c r="S828" s="38"/>
      <c r="T828" s="38"/>
      <c r="U828" s="38"/>
      <c r="V828" s="39"/>
      <c r="W828" s="38"/>
      <c r="X828" s="42"/>
      <c r="Y828" s="39"/>
      <c r="Z828" s="39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</row>
    <row r="829" ht="16.5" customHeight="1">
      <c r="A829" s="38"/>
      <c r="B829" s="38"/>
      <c r="C829" s="39"/>
      <c r="D829" s="38"/>
      <c r="E829" s="42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41"/>
      <c r="S829" s="38"/>
      <c r="T829" s="38"/>
      <c r="U829" s="38"/>
      <c r="V829" s="39"/>
      <c r="W829" s="38"/>
      <c r="X829" s="42"/>
      <c r="Y829" s="39"/>
      <c r="Z829" s="39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</row>
    <row r="830" ht="16.5" customHeight="1">
      <c r="A830" s="38"/>
      <c r="B830" s="38"/>
      <c r="C830" s="39"/>
      <c r="D830" s="38"/>
      <c r="E830" s="42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41"/>
      <c r="S830" s="38"/>
      <c r="T830" s="38"/>
      <c r="U830" s="38"/>
      <c r="V830" s="39"/>
      <c r="W830" s="38"/>
      <c r="X830" s="42"/>
      <c r="Y830" s="39"/>
      <c r="Z830" s="39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</row>
    <row r="831" ht="16.5" customHeight="1">
      <c r="A831" s="38"/>
      <c r="B831" s="38"/>
      <c r="C831" s="39"/>
      <c r="D831" s="38"/>
      <c r="E831" s="42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41"/>
      <c r="S831" s="38"/>
      <c r="T831" s="38"/>
      <c r="U831" s="38"/>
      <c r="V831" s="39"/>
      <c r="W831" s="38"/>
      <c r="X831" s="42"/>
      <c r="Y831" s="39"/>
      <c r="Z831" s="39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</row>
    <row r="832" ht="16.5" customHeight="1">
      <c r="A832" s="38"/>
      <c r="B832" s="38"/>
      <c r="C832" s="39"/>
      <c r="D832" s="38"/>
      <c r="E832" s="42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41"/>
      <c r="S832" s="38"/>
      <c r="T832" s="38"/>
      <c r="U832" s="38"/>
      <c r="V832" s="39"/>
      <c r="W832" s="38"/>
      <c r="X832" s="42"/>
      <c r="Y832" s="39"/>
      <c r="Z832" s="39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</row>
    <row r="833" ht="16.5" customHeight="1">
      <c r="A833" s="38"/>
      <c r="B833" s="38"/>
      <c r="C833" s="39"/>
      <c r="D833" s="38"/>
      <c r="E833" s="42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41"/>
      <c r="S833" s="38"/>
      <c r="T833" s="38"/>
      <c r="U833" s="38"/>
      <c r="V833" s="39"/>
      <c r="W833" s="38"/>
      <c r="X833" s="42"/>
      <c r="Y833" s="39"/>
      <c r="Z833" s="39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</row>
    <row r="834" ht="16.5" customHeight="1">
      <c r="A834" s="38"/>
      <c r="B834" s="38"/>
      <c r="C834" s="39"/>
      <c r="D834" s="38"/>
      <c r="E834" s="42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41"/>
      <c r="S834" s="38"/>
      <c r="T834" s="38"/>
      <c r="U834" s="38"/>
      <c r="V834" s="39"/>
      <c r="W834" s="38"/>
      <c r="X834" s="42"/>
      <c r="Y834" s="39"/>
      <c r="Z834" s="39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</row>
    <row r="835" ht="16.5" customHeight="1">
      <c r="A835" s="38"/>
      <c r="B835" s="38"/>
      <c r="C835" s="39"/>
      <c r="D835" s="38"/>
      <c r="E835" s="42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41"/>
      <c r="S835" s="38"/>
      <c r="T835" s="38"/>
      <c r="U835" s="38"/>
      <c r="V835" s="39"/>
      <c r="W835" s="38"/>
      <c r="X835" s="42"/>
      <c r="Y835" s="39"/>
      <c r="Z835" s="39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</row>
    <row r="836" ht="16.5" customHeight="1">
      <c r="A836" s="38"/>
      <c r="B836" s="38"/>
      <c r="C836" s="39"/>
      <c r="D836" s="38"/>
      <c r="E836" s="42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41"/>
      <c r="S836" s="38"/>
      <c r="T836" s="38"/>
      <c r="U836" s="38"/>
      <c r="V836" s="39"/>
      <c r="W836" s="38"/>
      <c r="X836" s="42"/>
      <c r="Y836" s="39"/>
      <c r="Z836" s="39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</row>
    <row r="837" ht="16.5" customHeight="1">
      <c r="A837" s="38"/>
      <c r="B837" s="38"/>
      <c r="C837" s="39"/>
      <c r="D837" s="38"/>
      <c r="E837" s="42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41"/>
      <c r="S837" s="38"/>
      <c r="T837" s="38"/>
      <c r="U837" s="38"/>
      <c r="V837" s="39"/>
      <c r="W837" s="38"/>
      <c r="X837" s="42"/>
      <c r="Y837" s="39"/>
      <c r="Z837" s="39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</row>
    <row r="838" ht="16.5" customHeight="1">
      <c r="A838" s="38"/>
      <c r="B838" s="38"/>
      <c r="C838" s="39"/>
      <c r="D838" s="38"/>
      <c r="E838" s="42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41"/>
      <c r="S838" s="38"/>
      <c r="T838" s="38"/>
      <c r="U838" s="38"/>
      <c r="V838" s="39"/>
      <c r="W838" s="38"/>
      <c r="X838" s="42"/>
      <c r="Y838" s="39"/>
      <c r="Z838" s="39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</row>
    <row r="839" ht="16.5" customHeight="1">
      <c r="A839" s="38"/>
      <c r="B839" s="38"/>
      <c r="C839" s="39"/>
      <c r="D839" s="38"/>
      <c r="E839" s="42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41"/>
      <c r="S839" s="38"/>
      <c r="T839" s="38"/>
      <c r="U839" s="38"/>
      <c r="V839" s="39"/>
      <c r="W839" s="38"/>
      <c r="X839" s="42"/>
      <c r="Y839" s="39"/>
      <c r="Z839" s="39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</row>
    <row r="840" ht="16.5" customHeight="1">
      <c r="A840" s="38"/>
      <c r="B840" s="38"/>
      <c r="C840" s="39"/>
      <c r="D840" s="38"/>
      <c r="E840" s="42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41"/>
      <c r="S840" s="38"/>
      <c r="T840" s="38"/>
      <c r="U840" s="38"/>
      <c r="V840" s="39"/>
      <c r="W840" s="38"/>
      <c r="X840" s="42"/>
      <c r="Y840" s="39"/>
      <c r="Z840" s="39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</row>
    <row r="841" ht="16.5" customHeight="1">
      <c r="A841" s="38"/>
      <c r="B841" s="38"/>
      <c r="C841" s="39"/>
      <c r="D841" s="38"/>
      <c r="E841" s="42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41"/>
      <c r="S841" s="38"/>
      <c r="T841" s="38"/>
      <c r="U841" s="38"/>
      <c r="V841" s="39"/>
      <c r="W841" s="38"/>
      <c r="X841" s="42"/>
      <c r="Y841" s="39"/>
      <c r="Z841" s="39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</row>
    <row r="842" ht="16.5" customHeight="1">
      <c r="A842" s="38"/>
      <c r="B842" s="38"/>
      <c r="C842" s="39"/>
      <c r="D842" s="38"/>
      <c r="E842" s="42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41"/>
      <c r="S842" s="38"/>
      <c r="T842" s="38"/>
      <c r="U842" s="38"/>
      <c r="V842" s="39"/>
      <c r="W842" s="38"/>
      <c r="X842" s="42"/>
      <c r="Y842" s="39"/>
      <c r="Z842" s="39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</row>
    <row r="843" ht="16.5" customHeight="1">
      <c r="A843" s="38"/>
      <c r="B843" s="38"/>
      <c r="C843" s="39"/>
      <c r="D843" s="38"/>
      <c r="E843" s="42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41"/>
      <c r="S843" s="38"/>
      <c r="T843" s="38"/>
      <c r="U843" s="38"/>
      <c r="V843" s="39"/>
      <c r="W843" s="38"/>
      <c r="X843" s="42"/>
      <c r="Y843" s="39"/>
      <c r="Z843" s="39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</row>
    <row r="844" ht="16.5" customHeight="1">
      <c r="A844" s="38"/>
      <c r="B844" s="38"/>
      <c r="C844" s="39"/>
      <c r="D844" s="38"/>
      <c r="E844" s="42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41"/>
      <c r="S844" s="38"/>
      <c r="T844" s="38"/>
      <c r="U844" s="38"/>
      <c r="V844" s="39"/>
      <c r="W844" s="38"/>
      <c r="X844" s="42"/>
      <c r="Y844" s="39"/>
      <c r="Z844" s="39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</row>
    <row r="845" ht="16.5" customHeight="1">
      <c r="A845" s="38"/>
      <c r="B845" s="38"/>
      <c r="C845" s="39"/>
      <c r="D845" s="38"/>
      <c r="E845" s="42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41"/>
      <c r="S845" s="38"/>
      <c r="T845" s="38"/>
      <c r="U845" s="38"/>
      <c r="V845" s="39"/>
      <c r="W845" s="38"/>
      <c r="X845" s="42"/>
      <c r="Y845" s="39"/>
      <c r="Z845" s="39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</row>
    <row r="846" ht="16.5" customHeight="1">
      <c r="A846" s="38"/>
      <c r="B846" s="38"/>
      <c r="C846" s="39"/>
      <c r="D846" s="38"/>
      <c r="E846" s="42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41"/>
      <c r="S846" s="38"/>
      <c r="T846" s="38"/>
      <c r="U846" s="38"/>
      <c r="V846" s="39"/>
      <c r="W846" s="38"/>
      <c r="X846" s="42"/>
      <c r="Y846" s="39"/>
      <c r="Z846" s="39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</row>
    <row r="847" ht="16.5" customHeight="1">
      <c r="A847" s="38"/>
      <c r="B847" s="38"/>
      <c r="C847" s="39"/>
      <c r="D847" s="38"/>
      <c r="E847" s="42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41"/>
      <c r="S847" s="38"/>
      <c r="T847" s="38"/>
      <c r="U847" s="38"/>
      <c r="V847" s="39"/>
      <c r="W847" s="38"/>
      <c r="X847" s="42"/>
      <c r="Y847" s="39"/>
      <c r="Z847" s="39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</row>
    <row r="848" ht="16.5" customHeight="1">
      <c r="A848" s="38"/>
      <c r="B848" s="38"/>
      <c r="C848" s="39"/>
      <c r="D848" s="38"/>
      <c r="E848" s="42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41"/>
      <c r="S848" s="38"/>
      <c r="T848" s="38"/>
      <c r="U848" s="38"/>
      <c r="V848" s="39"/>
      <c r="W848" s="38"/>
      <c r="X848" s="42"/>
      <c r="Y848" s="39"/>
      <c r="Z848" s="39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</row>
    <row r="849" ht="16.5" customHeight="1">
      <c r="A849" s="38"/>
      <c r="B849" s="38"/>
      <c r="C849" s="39"/>
      <c r="D849" s="38"/>
      <c r="E849" s="42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41"/>
      <c r="S849" s="38"/>
      <c r="T849" s="38"/>
      <c r="U849" s="38"/>
      <c r="V849" s="39"/>
      <c r="W849" s="38"/>
      <c r="X849" s="42"/>
      <c r="Y849" s="39"/>
      <c r="Z849" s="39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</row>
    <row r="850" ht="16.5" customHeight="1">
      <c r="A850" s="38"/>
      <c r="B850" s="38"/>
      <c r="C850" s="39"/>
      <c r="D850" s="38"/>
      <c r="E850" s="42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41"/>
      <c r="S850" s="38"/>
      <c r="T850" s="38"/>
      <c r="U850" s="38"/>
      <c r="V850" s="39"/>
      <c r="W850" s="38"/>
      <c r="X850" s="42"/>
      <c r="Y850" s="39"/>
      <c r="Z850" s="39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</row>
    <row r="851" ht="16.5" customHeight="1">
      <c r="A851" s="38"/>
      <c r="B851" s="38"/>
      <c r="C851" s="39"/>
      <c r="D851" s="38"/>
      <c r="E851" s="42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41"/>
      <c r="S851" s="38"/>
      <c r="T851" s="38"/>
      <c r="U851" s="38"/>
      <c r="V851" s="39"/>
      <c r="W851" s="38"/>
      <c r="X851" s="42"/>
      <c r="Y851" s="39"/>
      <c r="Z851" s="39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</row>
    <row r="852" ht="16.5" customHeight="1">
      <c r="A852" s="38"/>
      <c r="B852" s="38"/>
      <c r="C852" s="39"/>
      <c r="D852" s="38"/>
      <c r="E852" s="42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41"/>
      <c r="S852" s="38"/>
      <c r="T852" s="38"/>
      <c r="U852" s="38"/>
      <c r="V852" s="39"/>
      <c r="W852" s="38"/>
      <c r="X852" s="42"/>
      <c r="Y852" s="39"/>
      <c r="Z852" s="39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</row>
    <row r="853" ht="16.5" customHeight="1">
      <c r="A853" s="38"/>
      <c r="B853" s="38"/>
      <c r="C853" s="39"/>
      <c r="D853" s="38"/>
      <c r="E853" s="42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41"/>
      <c r="S853" s="38"/>
      <c r="T853" s="38"/>
      <c r="U853" s="38"/>
      <c r="V853" s="39"/>
      <c r="W853" s="38"/>
      <c r="X853" s="42"/>
      <c r="Y853" s="39"/>
      <c r="Z853" s="39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</row>
    <row r="854" ht="16.5" customHeight="1">
      <c r="A854" s="38"/>
      <c r="B854" s="38"/>
      <c r="C854" s="39"/>
      <c r="D854" s="38"/>
      <c r="E854" s="42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41"/>
      <c r="S854" s="38"/>
      <c r="T854" s="38"/>
      <c r="U854" s="38"/>
      <c r="V854" s="39"/>
      <c r="W854" s="38"/>
      <c r="X854" s="42"/>
      <c r="Y854" s="39"/>
      <c r="Z854" s="39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</row>
    <row r="855" ht="16.5" customHeight="1">
      <c r="A855" s="38"/>
      <c r="B855" s="38"/>
      <c r="C855" s="39"/>
      <c r="D855" s="38"/>
      <c r="E855" s="42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41"/>
      <c r="S855" s="38"/>
      <c r="T855" s="38"/>
      <c r="U855" s="38"/>
      <c r="V855" s="39"/>
      <c r="W855" s="38"/>
      <c r="X855" s="42"/>
      <c r="Y855" s="39"/>
      <c r="Z855" s="39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</row>
    <row r="856" ht="16.5" customHeight="1">
      <c r="A856" s="38"/>
      <c r="B856" s="38"/>
      <c r="C856" s="39"/>
      <c r="D856" s="38"/>
      <c r="E856" s="42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41"/>
      <c r="S856" s="38"/>
      <c r="T856" s="38"/>
      <c r="U856" s="38"/>
      <c r="V856" s="39"/>
      <c r="W856" s="38"/>
      <c r="X856" s="42"/>
      <c r="Y856" s="39"/>
      <c r="Z856" s="39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</row>
    <row r="857" ht="16.5" customHeight="1">
      <c r="A857" s="38"/>
      <c r="B857" s="38"/>
      <c r="C857" s="39"/>
      <c r="D857" s="38"/>
      <c r="E857" s="42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41"/>
      <c r="S857" s="38"/>
      <c r="T857" s="38"/>
      <c r="U857" s="38"/>
      <c r="V857" s="39"/>
      <c r="W857" s="38"/>
      <c r="X857" s="42"/>
      <c r="Y857" s="39"/>
      <c r="Z857" s="39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</row>
    <row r="858" ht="16.5" customHeight="1">
      <c r="A858" s="38"/>
      <c r="B858" s="38"/>
      <c r="C858" s="39"/>
      <c r="D858" s="38"/>
      <c r="E858" s="42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41"/>
      <c r="S858" s="38"/>
      <c r="T858" s="38"/>
      <c r="U858" s="38"/>
      <c r="V858" s="39"/>
      <c r="W858" s="38"/>
      <c r="X858" s="42"/>
      <c r="Y858" s="39"/>
      <c r="Z858" s="39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</row>
    <row r="859" ht="16.5" customHeight="1">
      <c r="A859" s="38"/>
      <c r="B859" s="38"/>
      <c r="C859" s="39"/>
      <c r="D859" s="38"/>
      <c r="E859" s="42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41"/>
      <c r="S859" s="38"/>
      <c r="T859" s="38"/>
      <c r="U859" s="38"/>
      <c r="V859" s="39"/>
      <c r="W859" s="38"/>
      <c r="X859" s="42"/>
      <c r="Y859" s="39"/>
      <c r="Z859" s="39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</row>
    <row r="860" ht="16.5" customHeight="1">
      <c r="A860" s="38"/>
      <c r="B860" s="38"/>
      <c r="C860" s="39"/>
      <c r="D860" s="38"/>
      <c r="E860" s="42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41"/>
      <c r="S860" s="38"/>
      <c r="T860" s="38"/>
      <c r="U860" s="38"/>
      <c r="V860" s="39"/>
      <c r="W860" s="38"/>
      <c r="X860" s="42"/>
      <c r="Y860" s="39"/>
      <c r="Z860" s="39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</row>
    <row r="861" ht="16.5" customHeight="1">
      <c r="A861" s="38"/>
      <c r="B861" s="38"/>
      <c r="C861" s="39"/>
      <c r="D861" s="38"/>
      <c r="E861" s="42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41"/>
      <c r="S861" s="38"/>
      <c r="T861" s="38"/>
      <c r="U861" s="38"/>
      <c r="V861" s="39"/>
      <c r="W861" s="38"/>
      <c r="X861" s="42"/>
      <c r="Y861" s="39"/>
      <c r="Z861" s="39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</row>
    <row r="862" ht="16.5" customHeight="1">
      <c r="A862" s="38"/>
      <c r="B862" s="38"/>
      <c r="C862" s="39"/>
      <c r="D862" s="38"/>
      <c r="E862" s="42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41"/>
      <c r="S862" s="38"/>
      <c r="T862" s="38"/>
      <c r="U862" s="38"/>
      <c r="V862" s="39"/>
      <c r="W862" s="38"/>
      <c r="X862" s="42"/>
      <c r="Y862" s="39"/>
      <c r="Z862" s="39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</row>
    <row r="863" ht="16.5" customHeight="1">
      <c r="A863" s="38"/>
      <c r="B863" s="38"/>
      <c r="C863" s="39"/>
      <c r="D863" s="38"/>
      <c r="E863" s="42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41"/>
      <c r="S863" s="38"/>
      <c r="T863" s="38"/>
      <c r="U863" s="38"/>
      <c r="V863" s="39"/>
      <c r="W863" s="38"/>
      <c r="X863" s="42"/>
      <c r="Y863" s="39"/>
      <c r="Z863" s="39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</row>
    <row r="864" ht="16.5" customHeight="1">
      <c r="A864" s="38"/>
      <c r="B864" s="38"/>
      <c r="C864" s="39"/>
      <c r="D864" s="38"/>
      <c r="E864" s="42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41"/>
      <c r="S864" s="38"/>
      <c r="T864" s="38"/>
      <c r="U864" s="38"/>
      <c r="V864" s="39"/>
      <c r="W864" s="38"/>
      <c r="X864" s="42"/>
      <c r="Y864" s="39"/>
      <c r="Z864" s="39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</row>
    <row r="865" ht="16.5" customHeight="1">
      <c r="A865" s="38"/>
      <c r="B865" s="38"/>
      <c r="C865" s="39"/>
      <c r="D865" s="38"/>
      <c r="E865" s="42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41"/>
      <c r="S865" s="38"/>
      <c r="T865" s="38"/>
      <c r="U865" s="38"/>
      <c r="V865" s="39"/>
      <c r="W865" s="38"/>
      <c r="X865" s="42"/>
      <c r="Y865" s="39"/>
      <c r="Z865" s="39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</row>
    <row r="866" ht="16.5" customHeight="1">
      <c r="A866" s="38"/>
      <c r="B866" s="38"/>
      <c r="C866" s="39"/>
      <c r="D866" s="38"/>
      <c r="E866" s="42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41"/>
      <c r="S866" s="38"/>
      <c r="T866" s="38"/>
      <c r="U866" s="38"/>
      <c r="V866" s="39"/>
      <c r="W866" s="38"/>
      <c r="X866" s="42"/>
      <c r="Y866" s="39"/>
      <c r="Z866" s="39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</row>
    <row r="867" ht="16.5" customHeight="1">
      <c r="A867" s="38"/>
      <c r="B867" s="38"/>
      <c r="C867" s="39"/>
      <c r="D867" s="38"/>
      <c r="E867" s="42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41"/>
      <c r="S867" s="38"/>
      <c r="T867" s="38"/>
      <c r="U867" s="38"/>
      <c r="V867" s="39"/>
      <c r="W867" s="38"/>
      <c r="X867" s="42"/>
      <c r="Y867" s="39"/>
      <c r="Z867" s="39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</row>
    <row r="868" ht="16.5" customHeight="1">
      <c r="A868" s="38"/>
      <c r="B868" s="38"/>
      <c r="C868" s="39"/>
      <c r="D868" s="38"/>
      <c r="E868" s="42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41"/>
      <c r="S868" s="38"/>
      <c r="T868" s="38"/>
      <c r="U868" s="38"/>
      <c r="V868" s="39"/>
      <c r="W868" s="38"/>
      <c r="X868" s="42"/>
      <c r="Y868" s="39"/>
      <c r="Z868" s="39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</row>
    <row r="869" ht="16.5" customHeight="1">
      <c r="A869" s="38"/>
      <c r="B869" s="38"/>
      <c r="C869" s="39"/>
      <c r="D869" s="38"/>
      <c r="E869" s="42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41"/>
      <c r="S869" s="38"/>
      <c r="T869" s="38"/>
      <c r="U869" s="38"/>
      <c r="V869" s="39"/>
      <c r="W869" s="38"/>
      <c r="X869" s="42"/>
      <c r="Y869" s="39"/>
      <c r="Z869" s="39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</row>
    <row r="870" ht="16.5" customHeight="1">
      <c r="A870" s="38"/>
      <c r="B870" s="38"/>
      <c r="C870" s="39"/>
      <c r="D870" s="38"/>
      <c r="E870" s="42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41"/>
      <c r="S870" s="38"/>
      <c r="T870" s="38"/>
      <c r="U870" s="38"/>
      <c r="V870" s="39"/>
      <c r="W870" s="38"/>
      <c r="X870" s="42"/>
      <c r="Y870" s="39"/>
      <c r="Z870" s="39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</row>
    <row r="871" ht="16.5" customHeight="1">
      <c r="A871" s="38"/>
      <c r="B871" s="38"/>
      <c r="C871" s="39"/>
      <c r="D871" s="38"/>
      <c r="E871" s="42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41"/>
      <c r="S871" s="38"/>
      <c r="T871" s="38"/>
      <c r="U871" s="38"/>
      <c r="V871" s="39"/>
      <c r="W871" s="38"/>
      <c r="X871" s="42"/>
      <c r="Y871" s="39"/>
      <c r="Z871" s="39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</row>
    <row r="872" ht="16.5" customHeight="1">
      <c r="A872" s="38"/>
      <c r="B872" s="38"/>
      <c r="C872" s="39"/>
      <c r="D872" s="38"/>
      <c r="E872" s="42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41"/>
      <c r="S872" s="38"/>
      <c r="T872" s="38"/>
      <c r="U872" s="38"/>
      <c r="V872" s="39"/>
      <c r="W872" s="38"/>
      <c r="X872" s="42"/>
      <c r="Y872" s="39"/>
      <c r="Z872" s="39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</row>
    <row r="873" ht="16.5" customHeight="1">
      <c r="A873" s="38"/>
      <c r="B873" s="38"/>
      <c r="C873" s="39"/>
      <c r="D873" s="38"/>
      <c r="E873" s="42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41"/>
      <c r="S873" s="38"/>
      <c r="T873" s="38"/>
      <c r="U873" s="38"/>
      <c r="V873" s="39"/>
      <c r="W873" s="38"/>
      <c r="X873" s="42"/>
      <c r="Y873" s="39"/>
      <c r="Z873" s="39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</row>
    <row r="874" ht="16.5" customHeight="1">
      <c r="A874" s="38"/>
      <c r="B874" s="38"/>
      <c r="C874" s="39"/>
      <c r="D874" s="38"/>
      <c r="E874" s="42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41"/>
      <c r="S874" s="38"/>
      <c r="T874" s="38"/>
      <c r="U874" s="38"/>
      <c r="V874" s="39"/>
      <c r="W874" s="38"/>
      <c r="X874" s="42"/>
      <c r="Y874" s="39"/>
      <c r="Z874" s="39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</row>
    <row r="875" ht="16.5" customHeight="1">
      <c r="A875" s="38"/>
      <c r="B875" s="38"/>
      <c r="C875" s="39"/>
      <c r="D875" s="38"/>
      <c r="E875" s="42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41"/>
      <c r="S875" s="38"/>
      <c r="T875" s="38"/>
      <c r="U875" s="38"/>
      <c r="V875" s="39"/>
      <c r="W875" s="38"/>
      <c r="X875" s="42"/>
      <c r="Y875" s="39"/>
      <c r="Z875" s="39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</row>
    <row r="876" ht="16.5" customHeight="1">
      <c r="A876" s="38"/>
      <c r="B876" s="38"/>
      <c r="C876" s="39"/>
      <c r="D876" s="38"/>
      <c r="E876" s="42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41"/>
      <c r="S876" s="38"/>
      <c r="T876" s="38"/>
      <c r="U876" s="38"/>
      <c r="V876" s="39"/>
      <c r="W876" s="38"/>
      <c r="X876" s="42"/>
      <c r="Y876" s="39"/>
      <c r="Z876" s="39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</row>
    <row r="877" ht="16.5" customHeight="1">
      <c r="A877" s="38"/>
      <c r="B877" s="38"/>
      <c r="C877" s="39"/>
      <c r="D877" s="38"/>
      <c r="E877" s="42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41"/>
      <c r="S877" s="38"/>
      <c r="T877" s="38"/>
      <c r="U877" s="38"/>
      <c r="V877" s="39"/>
      <c r="W877" s="38"/>
      <c r="X877" s="42"/>
      <c r="Y877" s="39"/>
      <c r="Z877" s="39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</row>
    <row r="878" ht="16.5" customHeight="1">
      <c r="A878" s="38"/>
      <c r="B878" s="38"/>
      <c r="C878" s="39"/>
      <c r="D878" s="38"/>
      <c r="E878" s="42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41"/>
      <c r="S878" s="38"/>
      <c r="T878" s="38"/>
      <c r="U878" s="38"/>
      <c r="V878" s="39"/>
      <c r="W878" s="38"/>
      <c r="X878" s="42"/>
      <c r="Y878" s="39"/>
      <c r="Z878" s="39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</row>
    <row r="879" ht="16.5" customHeight="1">
      <c r="A879" s="38"/>
      <c r="B879" s="38"/>
      <c r="C879" s="39"/>
      <c r="D879" s="38"/>
      <c r="E879" s="42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41"/>
      <c r="S879" s="38"/>
      <c r="T879" s="38"/>
      <c r="U879" s="38"/>
      <c r="V879" s="39"/>
      <c r="W879" s="38"/>
      <c r="X879" s="42"/>
      <c r="Y879" s="39"/>
      <c r="Z879" s="39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</row>
    <row r="880" ht="16.5" customHeight="1">
      <c r="A880" s="38"/>
      <c r="B880" s="38"/>
      <c r="C880" s="39"/>
      <c r="D880" s="38"/>
      <c r="E880" s="42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41"/>
      <c r="S880" s="38"/>
      <c r="T880" s="38"/>
      <c r="U880" s="38"/>
      <c r="V880" s="39"/>
      <c r="W880" s="38"/>
      <c r="X880" s="42"/>
      <c r="Y880" s="39"/>
      <c r="Z880" s="39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</row>
    <row r="881" ht="16.5" customHeight="1">
      <c r="A881" s="38"/>
      <c r="B881" s="38"/>
      <c r="C881" s="39"/>
      <c r="D881" s="38"/>
      <c r="E881" s="42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41"/>
      <c r="S881" s="38"/>
      <c r="T881" s="38"/>
      <c r="U881" s="38"/>
      <c r="V881" s="39"/>
      <c r="W881" s="38"/>
      <c r="X881" s="42"/>
      <c r="Y881" s="39"/>
      <c r="Z881" s="39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</row>
    <row r="882" ht="16.5" customHeight="1">
      <c r="A882" s="38"/>
      <c r="B882" s="38"/>
      <c r="C882" s="39"/>
      <c r="D882" s="38"/>
      <c r="E882" s="42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41"/>
      <c r="S882" s="38"/>
      <c r="T882" s="38"/>
      <c r="U882" s="38"/>
      <c r="V882" s="39"/>
      <c r="W882" s="38"/>
      <c r="X882" s="42"/>
      <c r="Y882" s="39"/>
      <c r="Z882" s="39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</row>
    <row r="883" ht="16.5" customHeight="1">
      <c r="A883" s="38"/>
      <c r="B883" s="38"/>
      <c r="C883" s="39"/>
      <c r="D883" s="38"/>
      <c r="E883" s="42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41"/>
      <c r="S883" s="38"/>
      <c r="T883" s="38"/>
      <c r="U883" s="38"/>
      <c r="V883" s="39"/>
      <c r="W883" s="38"/>
      <c r="X883" s="42"/>
      <c r="Y883" s="39"/>
      <c r="Z883" s="39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</row>
    <row r="884" ht="16.5" customHeight="1">
      <c r="A884" s="38"/>
      <c r="B884" s="38"/>
      <c r="C884" s="39"/>
      <c r="D884" s="38"/>
      <c r="E884" s="42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41"/>
      <c r="S884" s="38"/>
      <c r="T884" s="38"/>
      <c r="U884" s="38"/>
      <c r="V884" s="39"/>
      <c r="W884" s="38"/>
      <c r="X884" s="42"/>
      <c r="Y884" s="39"/>
      <c r="Z884" s="39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</row>
    <row r="885" ht="16.5" customHeight="1">
      <c r="A885" s="38"/>
      <c r="B885" s="38"/>
      <c r="C885" s="39"/>
      <c r="D885" s="38"/>
      <c r="E885" s="42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41"/>
      <c r="S885" s="38"/>
      <c r="T885" s="38"/>
      <c r="U885" s="38"/>
      <c r="V885" s="39"/>
      <c r="W885" s="38"/>
      <c r="X885" s="42"/>
      <c r="Y885" s="39"/>
      <c r="Z885" s="39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</row>
    <row r="886" ht="16.5" customHeight="1">
      <c r="A886" s="38"/>
      <c r="B886" s="38"/>
      <c r="C886" s="39"/>
      <c r="D886" s="38"/>
      <c r="E886" s="42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41"/>
      <c r="S886" s="38"/>
      <c r="T886" s="38"/>
      <c r="U886" s="38"/>
      <c r="V886" s="39"/>
      <c r="W886" s="38"/>
      <c r="X886" s="42"/>
      <c r="Y886" s="39"/>
      <c r="Z886" s="39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</row>
    <row r="887" ht="16.5" customHeight="1">
      <c r="A887" s="38"/>
      <c r="B887" s="38"/>
      <c r="C887" s="39"/>
      <c r="D887" s="38"/>
      <c r="E887" s="42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41"/>
      <c r="S887" s="38"/>
      <c r="T887" s="38"/>
      <c r="U887" s="38"/>
      <c r="V887" s="39"/>
      <c r="W887" s="38"/>
      <c r="X887" s="42"/>
      <c r="Y887" s="39"/>
      <c r="Z887" s="39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</row>
    <row r="888" ht="16.5" customHeight="1">
      <c r="A888" s="38"/>
      <c r="B888" s="38"/>
      <c r="C888" s="39"/>
      <c r="D888" s="38"/>
      <c r="E888" s="42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41"/>
      <c r="S888" s="38"/>
      <c r="T888" s="38"/>
      <c r="U888" s="38"/>
      <c r="V888" s="39"/>
      <c r="W888" s="38"/>
      <c r="X888" s="42"/>
      <c r="Y888" s="39"/>
      <c r="Z888" s="39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</row>
    <row r="889" ht="16.5" customHeight="1">
      <c r="A889" s="38"/>
      <c r="B889" s="38"/>
      <c r="C889" s="39"/>
      <c r="D889" s="38"/>
      <c r="E889" s="42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41"/>
      <c r="S889" s="38"/>
      <c r="T889" s="38"/>
      <c r="U889" s="38"/>
      <c r="V889" s="39"/>
      <c r="W889" s="38"/>
      <c r="X889" s="42"/>
      <c r="Y889" s="39"/>
      <c r="Z889" s="39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</row>
    <row r="890" ht="16.5" customHeight="1">
      <c r="A890" s="38"/>
      <c r="B890" s="38"/>
      <c r="C890" s="39"/>
      <c r="D890" s="38"/>
      <c r="E890" s="42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41"/>
      <c r="S890" s="38"/>
      <c r="T890" s="38"/>
      <c r="U890" s="38"/>
      <c r="V890" s="39"/>
      <c r="W890" s="38"/>
      <c r="X890" s="42"/>
      <c r="Y890" s="39"/>
      <c r="Z890" s="39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</row>
    <row r="891" ht="16.5" customHeight="1">
      <c r="A891" s="38"/>
      <c r="B891" s="38"/>
      <c r="C891" s="39"/>
      <c r="D891" s="38"/>
      <c r="E891" s="42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41"/>
      <c r="S891" s="38"/>
      <c r="T891" s="38"/>
      <c r="U891" s="38"/>
      <c r="V891" s="39"/>
      <c r="W891" s="38"/>
      <c r="X891" s="42"/>
      <c r="Y891" s="39"/>
      <c r="Z891" s="39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</row>
    <row r="892" ht="16.5" customHeight="1">
      <c r="A892" s="38"/>
      <c r="B892" s="38"/>
      <c r="C892" s="39"/>
      <c r="D892" s="38"/>
      <c r="E892" s="42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41"/>
      <c r="S892" s="38"/>
      <c r="T892" s="38"/>
      <c r="U892" s="38"/>
      <c r="V892" s="39"/>
      <c r="W892" s="38"/>
      <c r="X892" s="42"/>
      <c r="Y892" s="39"/>
      <c r="Z892" s="39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</row>
    <row r="893" ht="16.5" customHeight="1">
      <c r="A893" s="38"/>
      <c r="B893" s="38"/>
      <c r="C893" s="39"/>
      <c r="D893" s="38"/>
      <c r="E893" s="42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41"/>
      <c r="S893" s="38"/>
      <c r="T893" s="38"/>
      <c r="U893" s="38"/>
      <c r="V893" s="39"/>
      <c r="W893" s="38"/>
      <c r="X893" s="42"/>
      <c r="Y893" s="39"/>
      <c r="Z893" s="39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</row>
    <row r="894" ht="16.5" customHeight="1">
      <c r="A894" s="38"/>
      <c r="B894" s="38"/>
      <c r="C894" s="39"/>
      <c r="D894" s="38"/>
      <c r="E894" s="42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41"/>
      <c r="S894" s="38"/>
      <c r="T894" s="38"/>
      <c r="U894" s="38"/>
      <c r="V894" s="39"/>
      <c r="W894" s="38"/>
      <c r="X894" s="42"/>
      <c r="Y894" s="39"/>
      <c r="Z894" s="39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</row>
    <row r="895" ht="16.5" customHeight="1">
      <c r="A895" s="38"/>
      <c r="B895" s="38"/>
      <c r="C895" s="39"/>
      <c r="D895" s="38"/>
      <c r="E895" s="42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41"/>
      <c r="S895" s="38"/>
      <c r="T895" s="38"/>
      <c r="U895" s="38"/>
      <c r="V895" s="39"/>
      <c r="W895" s="38"/>
      <c r="X895" s="42"/>
      <c r="Y895" s="39"/>
      <c r="Z895" s="39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</row>
    <row r="896" ht="16.5" customHeight="1">
      <c r="A896" s="38"/>
      <c r="B896" s="38"/>
      <c r="C896" s="39"/>
      <c r="D896" s="38"/>
      <c r="E896" s="42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41"/>
      <c r="S896" s="38"/>
      <c r="T896" s="38"/>
      <c r="U896" s="38"/>
      <c r="V896" s="39"/>
      <c r="W896" s="38"/>
      <c r="X896" s="42"/>
      <c r="Y896" s="39"/>
      <c r="Z896" s="39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</row>
    <row r="897" ht="16.5" customHeight="1">
      <c r="A897" s="38"/>
      <c r="B897" s="38"/>
      <c r="C897" s="39"/>
      <c r="D897" s="38"/>
      <c r="E897" s="42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41"/>
      <c r="S897" s="38"/>
      <c r="T897" s="38"/>
      <c r="U897" s="38"/>
      <c r="V897" s="39"/>
      <c r="W897" s="38"/>
      <c r="X897" s="42"/>
      <c r="Y897" s="39"/>
      <c r="Z897" s="39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</row>
    <row r="898" ht="16.5" customHeight="1">
      <c r="A898" s="38"/>
      <c r="B898" s="38"/>
      <c r="C898" s="39"/>
      <c r="D898" s="38"/>
      <c r="E898" s="42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41"/>
      <c r="S898" s="38"/>
      <c r="T898" s="38"/>
      <c r="U898" s="38"/>
      <c r="V898" s="39"/>
      <c r="W898" s="38"/>
      <c r="X898" s="42"/>
      <c r="Y898" s="39"/>
      <c r="Z898" s="39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</row>
    <row r="899" ht="16.5" customHeight="1">
      <c r="A899" s="38"/>
      <c r="B899" s="38"/>
      <c r="C899" s="39"/>
      <c r="D899" s="38"/>
      <c r="E899" s="42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41"/>
      <c r="S899" s="38"/>
      <c r="T899" s="38"/>
      <c r="U899" s="38"/>
      <c r="V899" s="39"/>
      <c r="W899" s="38"/>
      <c r="X899" s="42"/>
      <c r="Y899" s="39"/>
      <c r="Z899" s="39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</row>
    <row r="900" ht="16.5" customHeight="1">
      <c r="A900" s="38"/>
      <c r="B900" s="38"/>
      <c r="C900" s="39"/>
      <c r="D900" s="38"/>
      <c r="E900" s="42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41"/>
      <c r="S900" s="38"/>
      <c r="T900" s="38"/>
      <c r="U900" s="38"/>
      <c r="V900" s="39"/>
      <c r="W900" s="38"/>
      <c r="X900" s="42"/>
      <c r="Y900" s="39"/>
      <c r="Z900" s="39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</row>
    <row r="901" ht="16.5" customHeight="1">
      <c r="A901" s="38"/>
      <c r="B901" s="38"/>
      <c r="C901" s="39"/>
      <c r="D901" s="38"/>
      <c r="E901" s="42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41"/>
      <c r="S901" s="38"/>
      <c r="T901" s="38"/>
      <c r="U901" s="38"/>
      <c r="V901" s="39"/>
      <c r="W901" s="38"/>
      <c r="X901" s="42"/>
      <c r="Y901" s="39"/>
      <c r="Z901" s="39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</row>
    <row r="902" ht="16.5" customHeight="1">
      <c r="A902" s="38"/>
      <c r="B902" s="38"/>
      <c r="C902" s="39"/>
      <c r="D902" s="38"/>
      <c r="E902" s="42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41"/>
      <c r="S902" s="38"/>
      <c r="T902" s="38"/>
      <c r="U902" s="38"/>
      <c r="V902" s="39"/>
      <c r="W902" s="38"/>
      <c r="X902" s="42"/>
      <c r="Y902" s="39"/>
      <c r="Z902" s="39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</row>
    <row r="903" ht="16.5" customHeight="1">
      <c r="A903" s="38"/>
      <c r="B903" s="38"/>
      <c r="C903" s="39"/>
      <c r="D903" s="38"/>
      <c r="E903" s="42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41"/>
      <c r="S903" s="38"/>
      <c r="T903" s="38"/>
      <c r="U903" s="38"/>
      <c r="V903" s="39"/>
      <c r="W903" s="38"/>
      <c r="X903" s="42"/>
      <c r="Y903" s="39"/>
      <c r="Z903" s="39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</row>
    <row r="904" ht="16.5" customHeight="1">
      <c r="A904" s="38"/>
      <c r="B904" s="38"/>
      <c r="C904" s="39"/>
      <c r="D904" s="38"/>
      <c r="E904" s="42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41"/>
      <c r="S904" s="38"/>
      <c r="T904" s="38"/>
      <c r="U904" s="38"/>
      <c r="V904" s="39"/>
      <c r="W904" s="38"/>
      <c r="X904" s="42"/>
      <c r="Y904" s="39"/>
      <c r="Z904" s="39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</row>
    <row r="905" ht="16.5" customHeight="1">
      <c r="A905" s="38"/>
      <c r="B905" s="38"/>
      <c r="C905" s="39"/>
      <c r="D905" s="38"/>
      <c r="E905" s="42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41"/>
      <c r="S905" s="38"/>
      <c r="T905" s="38"/>
      <c r="U905" s="38"/>
      <c r="V905" s="39"/>
      <c r="W905" s="38"/>
      <c r="X905" s="42"/>
      <c r="Y905" s="39"/>
      <c r="Z905" s="39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</row>
    <row r="906" ht="16.5" customHeight="1">
      <c r="A906" s="38"/>
      <c r="B906" s="38"/>
      <c r="C906" s="39"/>
      <c r="D906" s="38"/>
      <c r="E906" s="42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41"/>
      <c r="S906" s="38"/>
      <c r="T906" s="38"/>
      <c r="U906" s="38"/>
      <c r="V906" s="39"/>
      <c r="W906" s="38"/>
      <c r="X906" s="42"/>
      <c r="Y906" s="39"/>
      <c r="Z906" s="39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</row>
    <row r="907" ht="16.5" customHeight="1">
      <c r="A907" s="38"/>
      <c r="B907" s="38"/>
      <c r="C907" s="39"/>
      <c r="D907" s="38"/>
      <c r="E907" s="42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41"/>
      <c r="S907" s="38"/>
      <c r="T907" s="38"/>
      <c r="U907" s="38"/>
      <c r="V907" s="39"/>
      <c r="W907" s="38"/>
      <c r="X907" s="42"/>
      <c r="Y907" s="39"/>
      <c r="Z907" s="39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</row>
    <row r="908" ht="16.5" customHeight="1">
      <c r="A908" s="38"/>
      <c r="B908" s="38"/>
      <c r="C908" s="39"/>
      <c r="D908" s="38"/>
      <c r="E908" s="42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41"/>
      <c r="S908" s="38"/>
      <c r="T908" s="38"/>
      <c r="U908" s="38"/>
      <c r="V908" s="39"/>
      <c r="W908" s="38"/>
      <c r="X908" s="42"/>
      <c r="Y908" s="39"/>
      <c r="Z908" s="39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</row>
    <row r="909" ht="16.5" customHeight="1">
      <c r="A909" s="38"/>
      <c r="B909" s="38"/>
      <c r="C909" s="39"/>
      <c r="D909" s="38"/>
      <c r="E909" s="42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41"/>
      <c r="S909" s="38"/>
      <c r="T909" s="38"/>
      <c r="U909" s="38"/>
      <c r="V909" s="39"/>
      <c r="W909" s="38"/>
      <c r="X909" s="42"/>
      <c r="Y909" s="39"/>
      <c r="Z909" s="39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</row>
    <row r="910" ht="16.5" customHeight="1">
      <c r="A910" s="38"/>
      <c r="B910" s="38"/>
      <c r="C910" s="39"/>
      <c r="D910" s="38"/>
      <c r="E910" s="42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41"/>
      <c r="S910" s="38"/>
      <c r="T910" s="38"/>
      <c r="U910" s="38"/>
      <c r="V910" s="39"/>
      <c r="W910" s="38"/>
      <c r="X910" s="42"/>
      <c r="Y910" s="39"/>
      <c r="Z910" s="39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</row>
    <row r="911" ht="16.5" customHeight="1">
      <c r="A911" s="38"/>
      <c r="B911" s="38"/>
      <c r="C911" s="39"/>
      <c r="D911" s="38"/>
      <c r="E911" s="42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41"/>
      <c r="S911" s="38"/>
      <c r="T911" s="38"/>
      <c r="U911" s="38"/>
      <c r="V911" s="39"/>
      <c r="W911" s="38"/>
      <c r="X911" s="42"/>
      <c r="Y911" s="39"/>
      <c r="Z911" s="39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</row>
    <row r="912" ht="16.5" customHeight="1">
      <c r="A912" s="38"/>
      <c r="B912" s="38"/>
      <c r="C912" s="39"/>
      <c r="D912" s="38"/>
      <c r="E912" s="42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41"/>
      <c r="S912" s="38"/>
      <c r="T912" s="38"/>
      <c r="U912" s="38"/>
      <c r="V912" s="39"/>
      <c r="W912" s="38"/>
      <c r="X912" s="42"/>
      <c r="Y912" s="39"/>
      <c r="Z912" s="39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</row>
    <row r="913" ht="16.5" customHeight="1">
      <c r="A913" s="38"/>
      <c r="B913" s="38"/>
      <c r="C913" s="39"/>
      <c r="D913" s="38"/>
      <c r="E913" s="42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41"/>
      <c r="S913" s="38"/>
      <c r="T913" s="38"/>
      <c r="U913" s="38"/>
      <c r="V913" s="39"/>
      <c r="W913" s="38"/>
      <c r="X913" s="42"/>
      <c r="Y913" s="39"/>
      <c r="Z913" s="39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</row>
    <row r="914" ht="16.5" customHeight="1">
      <c r="A914" s="38"/>
      <c r="B914" s="38"/>
      <c r="C914" s="39"/>
      <c r="D914" s="38"/>
      <c r="E914" s="42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41"/>
      <c r="S914" s="38"/>
      <c r="T914" s="38"/>
      <c r="U914" s="38"/>
      <c r="V914" s="39"/>
      <c r="W914" s="38"/>
      <c r="X914" s="42"/>
      <c r="Y914" s="39"/>
      <c r="Z914" s="39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</row>
    <row r="915" ht="16.5" customHeight="1">
      <c r="A915" s="38"/>
      <c r="B915" s="38"/>
      <c r="C915" s="39"/>
      <c r="D915" s="38"/>
      <c r="E915" s="42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41"/>
      <c r="S915" s="38"/>
      <c r="T915" s="38"/>
      <c r="U915" s="38"/>
      <c r="V915" s="39"/>
      <c r="W915" s="38"/>
      <c r="X915" s="42"/>
      <c r="Y915" s="39"/>
      <c r="Z915" s="39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</row>
    <row r="916" ht="16.5" customHeight="1">
      <c r="A916" s="38"/>
      <c r="B916" s="38"/>
      <c r="C916" s="39"/>
      <c r="D916" s="38"/>
      <c r="E916" s="42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41"/>
      <c r="S916" s="38"/>
      <c r="T916" s="38"/>
      <c r="U916" s="38"/>
      <c r="V916" s="39"/>
      <c r="W916" s="38"/>
      <c r="X916" s="42"/>
      <c r="Y916" s="39"/>
      <c r="Z916" s="39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</row>
    <row r="917" ht="16.5" customHeight="1">
      <c r="A917" s="38"/>
      <c r="B917" s="38"/>
      <c r="C917" s="39"/>
      <c r="D917" s="38"/>
      <c r="E917" s="42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41"/>
      <c r="S917" s="38"/>
      <c r="T917" s="38"/>
      <c r="U917" s="38"/>
      <c r="V917" s="39"/>
      <c r="W917" s="38"/>
      <c r="X917" s="42"/>
      <c r="Y917" s="39"/>
      <c r="Z917" s="39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</row>
    <row r="918" ht="16.5" customHeight="1">
      <c r="A918" s="38"/>
      <c r="B918" s="38"/>
      <c r="C918" s="39"/>
      <c r="D918" s="38"/>
      <c r="E918" s="42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41"/>
      <c r="S918" s="38"/>
      <c r="T918" s="38"/>
      <c r="U918" s="38"/>
      <c r="V918" s="39"/>
      <c r="W918" s="38"/>
      <c r="X918" s="42"/>
      <c r="Y918" s="39"/>
      <c r="Z918" s="39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</row>
    <row r="919" ht="16.5" customHeight="1">
      <c r="A919" s="38"/>
      <c r="B919" s="38"/>
      <c r="C919" s="39"/>
      <c r="D919" s="38"/>
      <c r="E919" s="42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41"/>
      <c r="S919" s="38"/>
      <c r="T919" s="38"/>
      <c r="U919" s="38"/>
      <c r="V919" s="39"/>
      <c r="W919" s="38"/>
      <c r="X919" s="42"/>
      <c r="Y919" s="39"/>
      <c r="Z919" s="39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</row>
    <row r="920" ht="16.5" customHeight="1">
      <c r="A920" s="38"/>
      <c r="B920" s="38"/>
      <c r="C920" s="39"/>
      <c r="D920" s="38"/>
      <c r="E920" s="42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41"/>
      <c r="S920" s="38"/>
      <c r="T920" s="38"/>
      <c r="U920" s="38"/>
      <c r="V920" s="39"/>
      <c r="W920" s="38"/>
      <c r="X920" s="42"/>
      <c r="Y920" s="39"/>
      <c r="Z920" s="39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</row>
    <row r="921" ht="16.5" customHeight="1">
      <c r="A921" s="38"/>
      <c r="B921" s="38"/>
      <c r="C921" s="39"/>
      <c r="D921" s="38"/>
      <c r="E921" s="42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41"/>
      <c r="S921" s="38"/>
      <c r="T921" s="38"/>
      <c r="U921" s="38"/>
      <c r="V921" s="39"/>
      <c r="W921" s="38"/>
      <c r="X921" s="42"/>
      <c r="Y921" s="39"/>
      <c r="Z921" s="39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</row>
    <row r="922" ht="16.5" customHeight="1">
      <c r="A922" s="38"/>
      <c r="B922" s="38"/>
      <c r="C922" s="39"/>
      <c r="D922" s="38"/>
      <c r="E922" s="42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41"/>
      <c r="S922" s="38"/>
      <c r="T922" s="38"/>
      <c r="U922" s="38"/>
      <c r="V922" s="39"/>
      <c r="W922" s="38"/>
      <c r="X922" s="42"/>
      <c r="Y922" s="39"/>
      <c r="Z922" s="39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</row>
    <row r="923" ht="16.5" customHeight="1">
      <c r="A923" s="38"/>
      <c r="B923" s="38"/>
      <c r="C923" s="39"/>
      <c r="D923" s="38"/>
      <c r="E923" s="42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41"/>
      <c r="S923" s="38"/>
      <c r="T923" s="38"/>
      <c r="U923" s="38"/>
      <c r="V923" s="39"/>
      <c r="W923" s="38"/>
      <c r="X923" s="42"/>
      <c r="Y923" s="39"/>
      <c r="Z923" s="39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</row>
    <row r="924" ht="16.5" customHeight="1">
      <c r="A924" s="38"/>
      <c r="B924" s="38"/>
      <c r="C924" s="39"/>
      <c r="D924" s="38"/>
      <c r="E924" s="42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41"/>
      <c r="S924" s="38"/>
      <c r="T924" s="38"/>
      <c r="U924" s="38"/>
      <c r="V924" s="39"/>
      <c r="W924" s="38"/>
      <c r="X924" s="42"/>
      <c r="Y924" s="39"/>
      <c r="Z924" s="39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</row>
    <row r="925" ht="16.5" customHeight="1">
      <c r="A925" s="38"/>
      <c r="B925" s="38"/>
      <c r="C925" s="39"/>
      <c r="D925" s="38"/>
      <c r="E925" s="42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41"/>
      <c r="S925" s="38"/>
      <c r="T925" s="38"/>
      <c r="U925" s="38"/>
      <c r="V925" s="39"/>
      <c r="W925" s="38"/>
      <c r="X925" s="42"/>
      <c r="Y925" s="39"/>
      <c r="Z925" s="39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</row>
    <row r="926" ht="16.5" customHeight="1">
      <c r="A926" s="38"/>
      <c r="B926" s="38"/>
      <c r="C926" s="39"/>
      <c r="D926" s="38"/>
      <c r="E926" s="42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41"/>
      <c r="S926" s="38"/>
      <c r="T926" s="38"/>
      <c r="U926" s="38"/>
      <c r="V926" s="39"/>
      <c r="W926" s="38"/>
      <c r="X926" s="42"/>
      <c r="Y926" s="39"/>
      <c r="Z926" s="39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</row>
    <row r="927" ht="16.5" customHeight="1">
      <c r="A927" s="38"/>
      <c r="B927" s="38"/>
      <c r="C927" s="39"/>
      <c r="D927" s="38"/>
      <c r="E927" s="42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41"/>
      <c r="S927" s="38"/>
      <c r="T927" s="38"/>
      <c r="U927" s="38"/>
      <c r="V927" s="39"/>
      <c r="W927" s="38"/>
      <c r="X927" s="42"/>
      <c r="Y927" s="39"/>
      <c r="Z927" s="39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</row>
    <row r="928" ht="16.5" customHeight="1">
      <c r="A928" s="38"/>
      <c r="B928" s="38"/>
      <c r="C928" s="39"/>
      <c r="D928" s="38"/>
      <c r="E928" s="42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41"/>
      <c r="S928" s="38"/>
      <c r="T928" s="38"/>
      <c r="U928" s="38"/>
      <c r="V928" s="39"/>
      <c r="W928" s="38"/>
      <c r="X928" s="42"/>
      <c r="Y928" s="39"/>
      <c r="Z928" s="39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</row>
    <row r="929" ht="16.5" customHeight="1">
      <c r="A929" s="38"/>
      <c r="B929" s="38"/>
      <c r="C929" s="39"/>
      <c r="D929" s="38"/>
      <c r="E929" s="42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41"/>
      <c r="S929" s="38"/>
      <c r="T929" s="38"/>
      <c r="U929" s="38"/>
      <c r="V929" s="39"/>
      <c r="W929" s="38"/>
      <c r="X929" s="42"/>
      <c r="Y929" s="39"/>
      <c r="Z929" s="39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</row>
    <row r="930" ht="16.5" customHeight="1">
      <c r="A930" s="38"/>
      <c r="B930" s="38"/>
      <c r="C930" s="39"/>
      <c r="D930" s="38"/>
      <c r="E930" s="42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41"/>
      <c r="S930" s="38"/>
      <c r="T930" s="38"/>
      <c r="U930" s="38"/>
      <c r="V930" s="39"/>
      <c r="W930" s="38"/>
      <c r="X930" s="42"/>
      <c r="Y930" s="39"/>
      <c r="Z930" s="39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</row>
    <row r="931" ht="16.5" customHeight="1">
      <c r="A931" s="38"/>
      <c r="B931" s="38"/>
      <c r="C931" s="39"/>
      <c r="D931" s="38"/>
      <c r="E931" s="42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41"/>
      <c r="S931" s="38"/>
      <c r="T931" s="38"/>
      <c r="U931" s="38"/>
      <c r="V931" s="39"/>
      <c r="W931" s="38"/>
      <c r="X931" s="42"/>
      <c r="Y931" s="39"/>
      <c r="Z931" s="39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</row>
    <row r="932" ht="16.5" customHeight="1">
      <c r="A932" s="38"/>
      <c r="B932" s="38"/>
      <c r="C932" s="39"/>
      <c r="D932" s="38"/>
      <c r="E932" s="42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41"/>
      <c r="S932" s="38"/>
      <c r="T932" s="38"/>
      <c r="U932" s="38"/>
      <c r="V932" s="39"/>
      <c r="W932" s="38"/>
      <c r="X932" s="42"/>
      <c r="Y932" s="39"/>
      <c r="Z932" s="39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</row>
    <row r="933" ht="16.5" customHeight="1">
      <c r="A933" s="38"/>
      <c r="B933" s="38"/>
      <c r="C933" s="39"/>
      <c r="D933" s="38"/>
      <c r="E933" s="42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41"/>
      <c r="S933" s="38"/>
      <c r="T933" s="38"/>
      <c r="U933" s="38"/>
      <c r="V933" s="39"/>
      <c r="W933" s="38"/>
      <c r="X933" s="42"/>
      <c r="Y933" s="39"/>
      <c r="Z933" s="39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</row>
    <row r="934" ht="16.5" customHeight="1">
      <c r="A934" s="38"/>
      <c r="B934" s="38"/>
      <c r="C934" s="39"/>
      <c r="D934" s="38"/>
      <c r="E934" s="42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41"/>
      <c r="S934" s="38"/>
      <c r="T934" s="38"/>
      <c r="U934" s="38"/>
      <c r="V934" s="39"/>
      <c r="W934" s="38"/>
      <c r="X934" s="42"/>
      <c r="Y934" s="39"/>
      <c r="Z934" s="39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</row>
    <row r="935" ht="16.5" customHeight="1">
      <c r="A935" s="38"/>
      <c r="B935" s="38"/>
      <c r="C935" s="39"/>
      <c r="D935" s="38"/>
      <c r="E935" s="42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41"/>
      <c r="S935" s="38"/>
      <c r="T935" s="38"/>
      <c r="U935" s="38"/>
      <c r="V935" s="39"/>
      <c r="W935" s="38"/>
      <c r="X935" s="42"/>
      <c r="Y935" s="39"/>
      <c r="Z935" s="39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</row>
    <row r="936" ht="16.5" customHeight="1">
      <c r="A936" s="38"/>
      <c r="B936" s="38"/>
      <c r="C936" s="39"/>
      <c r="D936" s="38"/>
      <c r="E936" s="42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41"/>
      <c r="S936" s="38"/>
      <c r="T936" s="38"/>
      <c r="U936" s="38"/>
      <c r="V936" s="39"/>
      <c r="W936" s="38"/>
      <c r="X936" s="42"/>
      <c r="Y936" s="39"/>
      <c r="Z936" s="39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</row>
    <row r="937" ht="16.5" customHeight="1">
      <c r="A937" s="38"/>
      <c r="B937" s="38"/>
      <c r="C937" s="39"/>
      <c r="D937" s="38"/>
      <c r="E937" s="42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41"/>
      <c r="S937" s="38"/>
      <c r="T937" s="38"/>
      <c r="U937" s="38"/>
      <c r="V937" s="39"/>
      <c r="W937" s="38"/>
      <c r="X937" s="42"/>
      <c r="Y937" s="39"/>
      <c r="Z937" s="39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</row>
    <row r="938" ht="16.5" customHeight="1">
      <c r="A938" s="38"/>
      <c r="B938" s="38"/>
      <c r="C938" s="39"/>
      <c r="D938" s="38"/>
      <c r="E938" s="42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41"/>
      <c r="S938" s="38"/>
      <c r="T938" s="38"/>
      <c r="U938" s="38"/>
      <c r="V938" s="39"/>
      <c r="W938" s="38"/>
      <c r="X938" s="42"/>
      <c r="Y938" s="39"/>
      <c r="Z938" s="39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</row>
    <row r="939" ht="16.5" customHeight="1">
      <c r="A939" s="38"/>
      <c r="B939" s="38"/>
      <c r="C939" s="39"/>
      <c r="D939" s="38"/>
      <c r="E939" s="42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41"/>
      <c r="S939" s="38"/>
      <c r="T939" s="38"/>
      <c r="U939" s="38"/>
      <c r="V939" s="39"/>
      <c r="W939" s="38"/>
      <c r="X939" s="42"/>
      <c r="Y939" s="39"/>
      <c r="Z939" s="39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</row>
    <row r="940" ht="16.5" customHeight="1">
      <c r="A940" s="38"/>
      <c r="B940" s="38"/>
      <c r="C940" s="39"/>
      <c r="D940" s="38"/>
      <c r="E940" s="42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41"/>
      <c r="S940" s="38"/>
      <c r="T940" s="38"/>
      <c r="U940" s="38"/>
      <c r="V940" s="39"/>
      <c r="W940" s="38"/>
      <c r="X940" s="42"/>
      <c r="Y940" s="39"/>
      <c r="Z940" s="39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</row>
    <row r="941" ht="16.5" customHeight="1">
      <c r="A941" s="38"/>
      <c r="B941" s="38"/>
      <c r="C941" s="39"/>
      <c r="D941" s="38"/>
      <c r="E941" s="42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41"/>
      <c r="S941" s="38"/>
      <c r="T941" s="38"/>
      <c r="U941" s="38"/>
      <c r="V941" s="39"/>
      <c r="W941" s="38"/>
      <c r="X941" s="42"/>
      <c r="Y941" s="39"/>
      <c r="Z941" s="39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</row>
    <row r="942" ht="16.5" customHeight="1">
      <c r="A942" s="38"/>
      <c r="B942" s="38"/>
      <c r="C942" s="39"/>
      <c r="D942" s="38"/>
      <c r="E942" s="42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41"/>
      <c r="S942" s="38"/>
      <c r="T942" s="38"/>
      <c r="U942" s="38"/>
      <c r="V942" s="39"/>
      <c r="W942" s="38"/>
      <c r="X942" s="42"/>
      <c r="Y942" s="39"/>
      <c r="Z942" s="39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</row>
    <row r="943" ht="16.5" customHeight="1">
      <c r="A943" s="38"/>
      <c r="B943" s="38"/>
      <c r="C943" s="39"/>
      <c r="D943" s="38"/>
      <c r="E943" s="42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41"/>
      <c r="S943" s="38"/>
      <c r="T943" s="38"/>
      <c r="U943" s="38"/>
      <c r="V943" s="39"/>
      <c r="W943" s="38"/>
      <c r="X943" s="42"/>
      <c r="Y943" s="39"/>
      <c r="Z943" s="39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</row>
    <row r="944" ht="16.5" customHeight="1">
      <c r="A944" s="38"/>
      <c r="B944" s="38"/>
      <c r="C944" s="39"/>
      <c r="D944" s="38"/>
      <c r="E944" s="42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41"/>
      <c r="S944" s="38"/>
      <c r="T944" s="38"/>
      <c r="U944" s="38"/>
      <c r="V944" s="39"/>
      <c r="W944" s="38"/>
      <c r="X944" s="42"/>
      <c r="Y944" s="39"/>
      <c r="Z944" s="39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</row>
    <row r="945" ht="16.5" customHeight="1">
      <c r="A945" s="38"/>
      <c r="B945" s="38"/>
      <c r="C945" s="39"/>
      <c r="D945" s="38"/>
      <c r="E945" s="42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41"/>
      <c r="S945" s="38"/>
      <c r="T945" s="38"/>
      <c r="U945" s="38"/>
      <c r="V945" s="39"/>
      <c r="W945" s="38"/>
      <c r="X945" s="42"/>
      <c r="Y945" s="39"/>
      <c r="Z945" s="39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</row>
    <row r="946" ht="16.5" customHeight="1">
      <c r="A946" s="38"/>
      <c r="B946" s="38"/>
      <c r="C946" s="39"/>
      <c r="D946" s="38"/>
      <c r="E946" s="42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41"/>
      <c r="S946" s="38"/>
      <c r="T946" s="38"/>
      <c r="U946" s="38"/>
      <c r="V946" s="39"/>
      <c r="W946" s="38"/>
      <c r="X946" s="42"/>
      <c r="Y946" s="39"/>
      <c r="Z946" s="39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</row>
    <row r="947" ht="16.5" customHeight="1">
      <c r="A947" s="38"/>
      <c r="B947" s="38"/>
      <c r="C947" s="39"/>
      <c r="D947" s="38"/>
      <c r="E947" s="42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41"/>
      <c r="S947" s="38"/>
      <c r="T947" s="38"/>
      <c r="U947" s="38"/>
      <c r="V947" s="39"/>
      <c r="W947" s="38"/>
      <c r="X947" s="42"/>
      <c r="Y947" s="39"/>
      <c r="Z947" s="39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</row>
    <row r="948" ht="16.5" customHeight="1">
      <c r="A948" s="38"/>
      <c r="B948" s="38"/>
      <c r="C948" s="39"/>
      <c r="D948" s="38"/>
      <c r="E948" s="42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41"/>
      <c r="S948" s="38"/>
      <c r="T948" s="38"/>
      <c r="U948" s="38"/>
      <c r="V948" s="39"/>
      <c r="W948" s="38"/>
      <c r="X948" s="42"/>
      <c r="Y948" s="39"/>
      <c r="Z948" s="39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</row>
    <row r="949" ht="16.5" customHeight="1">
      <c r="A949" s="38"/>
      <c r="B949" s="38"/>
      <c r="C949" s="39"/>
      <c r="D949" s="38"/>
      <c r="E949" s="42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41"/>
      <c r="S949" s="38"/>
      <c r="T949" s="38"/>
      <c r="U949" s="38"/>
      <c r="V949" s="39"/>
      <c r="W949" s="38"/>
      <c r="X949" s="42"/>
      <c r="Y949" s="39"/>
      <c r="Z949" s="39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</row>
    <row r="950" ht="16.5" customHeight="1">
      <c r="A950" s="38"/>
      <c r="B950" s="38"/>
      <c r="C950" s="39"/>
      <c r="D950" s="38"/>
      <c r="E950" s="42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41"/>
      <c r="S950" s="38"/>
      <c r="T950" s="38"/>
      <c r="U950" s="38"/>
      <c r="V950" s="39"/>
      <c r="W950" s="38"/>
      <c r="X950" s="42"/>
      <c r="Y950" s="39"/>
      <c r="Z950" s="39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</row>
    <row r="951" ht="16.5" customHeight="1">
      <c r="A951" s="38"/>
      <c r="B951" s="38"/>
      <c r="C951" s="39"/>
      <c r="D951" s="38"/>
      <c r="E951" s="42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41"/>
      <c r="S951" s="38"/>
      <c r="T951" s="38"/>
      <c r="U951" s="38"/>
      <c r="V951" s="39"/>
      <c r="W951" s="38"/>
      <c r="X951" s="42"/>
      <c r="Y951" s="39"/>
      <c r="Z951" s="39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</row>
    <row r="952" ht="16.5" customHeight="1">
      <c r="A952" s="38"/>
      <c r="B952" s="38"/>
      <c r="C952" s="39"/>
      <c r="D952" s="38"/>
      <c r="E952" s="42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41"/>
      <c r="S952" s="38"/>
      <c r="T952" s="38"/>
      <c r="U952" s="38"/>
      <c r="V952" s="39"/>
      <c r="W952" s="38"/>
      <c r="X952" s="42"/>
      <c r="Y952" s="39"/>
      <c r="Z952" s="39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</row>
    <row r="953" ht="16.5" customHeight="1">
      <c r="A953" s="38"/>
      <c r="B953" s="38"/>
      <c r="C953" s="39"/>
      <c r="D953" s="38"/>
      <c r="E953" s="42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41"/>
      <c r="S953" s="38"/>
      <c r="T953" s="38"/>
      <c r="U953" s="38"/>
      <c r="V953" s="39"/>
      <c r="W953" s="38"/>
      <c r="X953" s="42"/>
      <c r="Y953" s="39"/>
      <c r="Z953" s="39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</row>
    <row r="954" ht="16.5" customHeight="1">
      <c r="A954" s="38"/>
      <c r="B954" s="38"/>
      <c r="C954" s="39"/>
      <c r="D954" s="38"/>
      <c r="E954" s="42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41"/>
      <c r="S954" s="38"/>
      <c r="T954" s="38"/>
      <c r="U954" s="38"/>
      <c r="V954" s="39"/>
      <c r="W954" s="38"/>
      <c r="X954" s="42"/>
      <c r="Y954" s="39"/>
      <c r="Z954" s="39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</row>
    <row r="955" ht="16.5" customHeight="1">
      <c r="A955" s="38"/>
      <c r="B955" s="38"/>
      <c r="C955" s="39"/>
      <c r="D955" s="38"/>
      <c r="E955" s="42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41"/>
      <c r="S955" s="38"/>
      <c r="T955" s="38"/>
      <c r="U955" s="38"/>
      <c r="V955" s="39"/>
      <c r="W955" s="38"/>
      <c r="X955" s="42"/>
      <c r="Y955" s="39"/>
      <c r="Z955" s="39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</row>
    <row r="956" ht="16.5" customHeight="1">
      <c r="A956" s="38"/>
      <c r="B956" s="38"/>
      <c r="C956" s="39"/>
      <c r="D956" s="38"/>
      <c r="E956" s="42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41"/>
      <c r="S956" s="38"/>
      <c r="T956" s="38"/>
      <c r="U956" s="38"/>
      <c r="V956" s="39"/>
      <c r="W956" s="38"/>
      <c r="X956" s="42"/>
      <c r="Y956" s="39"/>
      <c r="Z956" s="39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</row>
    <row r="957" ht="16.5" customHeight="1">
      <c r="A957" s="38"/>
      <c r="B957" s="38"/>
      <c r="C957" s="39"/>
      <c r="D957" s="38"/>
      <c r="E957" s="42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41"/>
      <c r="S957" s="38"/>
      <c r="T957" s="38"/>
      <c r="U957" s="38"/>
      <c r="V957" s="39"/>
      <c r="W957" s="38"/>
      <c r="X957" s="42"/>
      <c r="Y957" s="39"/>
      <c r="Z957" s="39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</row>
    <row r="958" ht="16.5" customHeight="1">
      <c r="A958" s="38"/>
      <c r="B958" s="38"/>
      <c r="C958" s="39"/>
      <c r="D958" s="38"/>
      <c r="E958" s="42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41"/>
      <c r="S958" s="38"/>
      <c r="T958" s="38"/>
      <c r="U958" s="38"/>
      <c r="V958" s="39"/>
      <c r="W958" s="38"/>
      <c r="X958" s="42"/>
      <c r="Y958" s="39"/>
      <c r="Z958" s="39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</row>
    <row r="959" ht="16.5" customHeight="1">
      <c r="A959" s="38"/>
      <c r="B959" s="38"/>
      <c r="C959" s="39"/>
      <c r="D959" s="38"/>
      <c r="E959" s="42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41"/>
      <c r="S959" s="38"/>
      <c r="T959" s="38"/>
      <c r="U959" s="38"/>
      <c r="V959" s="39"/>
      <c r="W959" s="38"/>
      <c r="X959" s="42"/>
      <c r="Y959" s="39"/>
      <c r="Z959" s="39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</row>
    <row r="960" ht="16.5" customHeight="1">
      <c r="A960" s="38"/>
      <c r="B960" s="38"/>
      <c r="C960" s="39"/>
      <c r="D960" s="38"/>
      <c r="E960" s="42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41"/>
      <c r="S960" s="38"/>
      <c r="T960" s="38"/>
      <c r="U960" s="38"/>
      <c r="V960" s="39"/>
      <c r="W960" s="38"/>
      <c r="X960" s="42"/>
      <c r="Y960" s="39"/>
      <c r="Z960" s="39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</row>
    <row r="961" ht="16.5" customHeight="1">
      <c r="A961" s="38"/>
      <c r="B961" s="38"/>
      <c r="C961" s="39"/>
      <c r="D961" s="38"/>
      <c r="E961" s="42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41"/>
      <c r="S961" s="38"/>
      <c r="T961" s="38"/>
      <c r="U961" s="38"/>
      <c r="V961" s="39"/>
      <c r="W961" s="38"/>
      <c r="X961" s="42"/>
      <c r="Y961" s="39"/>
      <c r="Z961" s="39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</row>
    <row r="962" ht="16.5" customHeight="1">
      <c r="A962" s="38"/>
      <c r="B962" s="38"/>
      <c r="C962" s="39"/>
      <c r="D962" s="38"/>
      <c r="E962" s="42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41"/>
      <c r="S962" s="38"/>
      <c r="T962" s="38"/>
      <c r="U962" s="38"/>
      <c r="V962" s="39"/>
      <c r="W962" s="38"/>
      <c r="X962" s="42"/>
      <c r="Y962" s="39"/>
      <c r="Z962" s="39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</row>
    <row r="963" ht="16.5" customHeight="1">
      <c r="A963" s="38"/>
      <c r="B963" s="38"/>
      <c r="C963" s="39"/>
      <c r="D963" s="38"/>
      <c r="E963" s="42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41"/>
      <c r="S963" s="38"/>
      <c r="T963" s="38"/>
      <c r="U963" s="38"/>
      <c r="V963" s="39"/>
      <c r="W963" s="38"/>
      <c r="X963" s="42"/>
      <c r="Y963" s="39"/>
      <c r="Z963" s="39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</row>
    <row r="964" ht="16.5" customHeight="1">
      <c r="A964" s="38"/>
      <c r="B964" s="38"/>
      <c r="C964" s="39"/>
      <c r="D964" s="38"/>
      <c r="E964" s="42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41"/>
      <c r="S964" s="38"/>
      <c r="T964" s="38"/>
      <c r="U964" s="38"/>
      <c r="V964" s="39"/>
      <c r="W964" s="38"/>
      <c r="X964" s="42"/>
      <c r="Y964" s="39"/>
      <c r="Z964" s="39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</row>
    <row r="965" ht="16.5" customHeight="1">
      <c r="A965" s="38"/>
      <c r="B965" s="38"/>
      <c r="C965" s="39"/>
      <c r="D965" s="38"/>
      <c r="E965" s="42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41"/>
      <c r="S965" s="38"/>
      <c r="T965" s="38"/>
      <c r="U965" s="38"/>
      <c r="V965" s="39"/>
      <c r="W965" s="38"/>
      <c r="X965" s="42"/>
      <c r="Y965" s="39"/>
      <c r="Z965" s="39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</row>
    <row r="966" ht="16.5" customHeight="1">
      <c r="A966" s="38"/>
      <c r="B966" s="38"/>
      <c r="C966" s="39"/>
      <c r="D966" s="38"/>
      <c r="E966" s="42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41"/>
      <c r="S966" s="38"/>
      <c r="T966" s="38"/>
      <c r="U966" s="38"/>
      <c r="V966" s="39"/>
      <c r="W966" s="38"/>
      <c r="X966" s="42"/>
      <c r="Y966" s="39"/>
      <c r="Z966" s="39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</row>
    <row r="967" ht="16.5" customHeight="1">
      <c r="A967" s="38"/>
      <c r="B967" s="38"/>
      <c r="C967" s="39"/>
      <c r="D967" s="38"/>
      <c r="E967" s="42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41"/>
      <c r="S967" s="38"/>
      <c r="T967" s="38"/>
      <c r="U967" s="38"/>
      <c r="V967" s="39"/>
      <c r="W967" s="38"/>
      <c r="X967" s="42"/>
      <c r="Y967" s="39"/>
      <c r="Z967" s="39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</row>
    <row r="968" ht="16.5" customHeight="1">
      <c r="A968" s="38"/>
      <c r="B968" s="38"/>
      <c r="C968" s="39"/>
      <c r="D968" s="38"/>
      <c r="E968" s="42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41"/>
      <c r="S968" s="38"/>
      <c r="T968" s="38"/>
      <c r="U968" s="38"/>
      <c r="V968" s="39"/>
      <c r="W968" s="38"/>
      <c r="X968" s="42"/>
      <c r="Y968" s="39"/>
      <c r="Z968" s="39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</row>
    <row r="969" ht="16.5" customHeight="1">
      <c r="A969" s="38"/>
      <c r="B969" s="38"/>
      <c r="C969" s="39"/>
      <c r="D969" s="38"/>
      <c r="E969" s="42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41"/>
      <c r="S969" s="38"/>
      <c r="T969" s="38"/>
      <c r="U969" s="38"/>
      <c r="V969" s="39"/>
      <c r="W969" s="38"/>
      <c r="X969" s="42"/>
      <c r="Y969" s="39"/>
      <c r="Z969" s="39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</row>
    <row r="970" ht="16.5" customHeight="1">
      <c r="A970" s="38"/>
      <c r="B970" s="38"/>
      <c r="C970" s="39"/>
      <c r="D970" s="38"/>
      <c r="E970" s="42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41"/>
      <c r="S970" s="38"/>
      <c r="T970" s="38"/>
      <c r="U970" s="38"/>
      <c r="V970" s="39"/>
      <c r="W970" s="38"/>
      <c r="X970" s="42"/>
      <c r="Y970" s="39"/>
      <c r="Z970" s="39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</row>
    <row r="971" ht="16.5" customHeight="1">
      <c r="A971" s="38"/>
      <c r="B971" s="38"/>
      <c r="C971" s="39"/>
      <c r="D971" s="38"/>
      <c r="E971" s="42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41"/>
      <c r="S971" s="38"/>
      <c r="T971" s="38"/>
      <c r="U971" s="38"/>
      <c r="V971" s="39"/>
      <c r="W971" s="38"/>
      <c r="X971" s="42"/>
      <c r="Y971" s="39"/>
      <c r="Z971" s="39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</row>
    <row r="972" ht="16.5" customHeight="1">
      <c r="A972" s="38"/>
      <c r="B972" s="38"/>
      <c r="C972" s="39"/>
      <c r="D972" s="38"/>
      <c r="E972" s="42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41"/>
      <c r="S972" s="38"/>
      <c r="T972" s="38"/>
      <c r="U972" s="38"/>
      <c r="V972" s="39"/>
      <c r="W972" s="38"/>
      <c r="X972" s="42"/>
      <c r="Y972" s="39"/>
      <c r="Z972" s="39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</row>
    <row r="973" ht="16.5" customHeight="1">
      <c r="A973" s="38"/>
      <c r="B973" s="38"/>
      <c r="C973" s="39"/>
      <c r="D973" s="38"/>
      <c r="E973" s="42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41"/>
      <c r="S973" s="38"/>
      <c r="T973" s="38"/>
      <c r="U973" s="38"/>
      <c r="V973" s="39"/>
      <c r="W973" s="38"/>
      <c r="X973" s="42"/>
      <c r="Y973" s="39"/>
      <c r="Z973" s="39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</row>
    <row r="974" ht="16.5" customHeight="1">
      <c r="A974" s="38"/>
      <c r="B974" s="38"/>
      <c r="C974" s="39"/>
      <c r="D974" s="38"/>
      <c r="E974" s="42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41"/>
      <c r="S974" s="38"/>
      <c r="T974" s="38"/>
      <c r="U974" s="38"/>
      <c r="V974" s="39"/>
      <c r="W974" s="38"/>
      <c r="X974" s="42"/>
      <c r="Y974" s="39"/>
      <c r="Z974" s="39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</row>
    <row r="975" ht="16.5" customHeight="1">
      <c r="A975" s="38"/>
      <c r="B975" s="38"/>
      <c r="C975" s="39"/>
      <c r="D975" s="38"/>
      <c r="E975" s="42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41"/>
      <c r="S975" s="38"/>
      <c r="T975" s="38"/>
      <c r="U975" s="38"/>
      <c r="V975" s="39"/>
      <c r="W975" s="38"/>
      <c r="X975" s="42"/>
      <c r="Y975" s="39"/>
      <c r="Z975" s="39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</row>
    <row r="976" ht="16.5" customHeight="1">
      <c r="A976" s="38"/>
      <c r="B976" s="38"/>
      <c r="C976" s="39"/>
      <c r="D976" s="38"/>
      <c r="E976" s="42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41"/>
      <c r="S976" s="38"/>
      <c r="T976" s="38"/>
      <c r="U976" s="38"/>
      <c r="V976" s="39"/>
      <c r="W976" s="38"/>
      <c r="X976" s="42"/>
      <c r="Y976" s="39"/>
      <c r="Z976" s="39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</row>
    <row r="977" ht="16.5" customHeight="1">
      <c r="A977" s="38"/>
      <c r="B977" s="38"/>
      <c r="C977" s="39"/>
      <c r="D977" s="38"/>
      <c r="E977" s="42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41"/>
      <c r="S977" s="38"/>
      <c r="T977" s="38"/>
      <c r="U977" s="38"/>
      <c r="V977" s="39"/>
      <c r="W977" s="38"/>
      <c r="X977" s="42"/>
      <c r="Y977" s="39"/>
      <c r="Z977" s="39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</row>
    <row r="978" ht="16.5" customHeight="1">
      <c r="A978" s="38"/>
      <c r="B978" s="38"/>
      <c r="C978" s="39"/>
      <c r="D978" s="38"/>
      <c r="E978" s="42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41"/>
      <c r="S978" s="38"/>
      <c r="T978" s="38"/>
      <c r="U978" s="38"/>
      <c r="V978" s="39"/>
      <c r="W978" s="38"/>
      <c r="X978" s="42"/>
      <c r="Y978" s="39"/>
      <c r="Z978" s="39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</row>
    <row r="979" ht="16.5" customHeight="1">
      <c r="A979" s="38"/>
      <c r="B979" s="38"/>
      <c r="C979" s="39"/>
      <c r="D979" s="38"/>
      <c r="E979" s="42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41"/>
      <c r="S979" s="38"/>
      <c r="T979" s="38"/>
      <c r="U979" s="38"/>
      <c r="V979" s="39"/>
      <c r="W979" s="38"/>
      <c r="X979" s="42"/>
      <c r="Y979" s="39"/>
      <c r="Z979" s="39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</row>
    <row r="980" ht="16.5" customHeight="1">
      <c r="A980" s="38"/>
      <c r="B980" s="38"/>
      <c r="C980" s="39"/>
      <c r="D980" s="38"/>
      <c r="E980" s="42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41"/>
      <c r="S980" s="38"/>
      <c r="T980" s="38"/>
      <c r="U980" s="38"/>
      <c r="V980" s="39"/>
      <c r="W980" s="38"/>
      <c r="X980" s="42"/>
      <c r="Y980" s="39"/>
      <c r="Z980" s="39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</row>
    <row r="981" ht="16.5" customHeight="1">
      <c r="A981" s="38"/>
      <c r="B981" s="38"/>
      <c r="C981" s="39"/>
      <c r="D981" s="38"/>
      <c r="E981" s="42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41"/>
      <c r="S981" s="38"/>
      <c r="T981" s="38"/>
      <c r="U981" s="38"/>
      <c r="V981" s="39"/>
      <c r="W981" s="38"/>
      <c r="X981" s="42"/>
      <c r="Y981" s="39"/>
      <c r="Z981" s="39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</row>
    <row r="982" ht="16.5" customHeight="1">
      <c r="A982" s="38"/>
      <c r="B982" s="38"/>
      <c r="C982" s="39"/>
      <c r="D982" s="38"/>
      <c r="E982" s="42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41"/>
      <c r="S982" s="38"/>
      <c r="T982" s="38"/>
      <c r="U982" s="38"/>
      <c r="V982" s="39"/>
      <c r="W982" s="38"/>
      <c r="X982" s="42"/>
      <c r="Y982" s="39"/>
      <c r="Z982" s="39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</row>
    <row r="983" ht="16.5" customHeight="1">
      <c r="A983" s="38"/>
      <c r="B983" s="38"/>
      <c r="C983" s="39"/>
      <c r="D983" s="38"/>
      <c r="E983" s="42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41"/>
      <c r="S983" s="38"/>
      <c r="T983" s="38"/>
      <c r="U983" s="38"/>
      <c r="V983" s="39"/>
      <c r="W983" s="38"/>
      <c r="X983" s="42"/>
      <c r="Y983" s="39"/>
      <c r="Z983" s="39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</row>
    <row r="984" ht="16.5" customHeight="1">
      <c r="A984" s="38"/>
      <c r="B984" s="38"/>
      <c r="C984" s="39"/>
      <c r="D984" s="38"/>
      <c r="E984" s="42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41"/>
      <c r="S984" s="38"/>
      <c r="T984" s="38"/>
      <c r="U984" s="38"/>
      <c r="V984" s="39"/>
      <c r="W984" s="38"/>
      <c r="X984" s="42"/>
      <c r="Y984" s="39"/>
      <c r="Z984" s="39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</row>
    <row r="985" ht="16.5" customHeight="1">
      <c r="A985" s="38"/>
      <c r="B985" s="38"/>
      <c r="C985" s="39"/>
      <c r="D985" s="38"/>
      <c r="E985" s="42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41"/>
      <c r="S985" s="38"/>
      <c r="T985" s="38"/>
      <c r="U985" s="38"/>
      <c r="V985" s="39"/>
      <c r="W985" s="38"/>
      <c r="X985" s="42"/>
      <c r="Y985" s="39"/>
      <c r="Z985" s="39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</row>
    <row r="986" ht="16.5" customHeight="1">
      <c r="A986" s="38"/>
      <c r="B986" s="38"/>
      <c r="C986" s="39"/>
      <c r="D986" s="38"/>
      <c r="E986" s="42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41"/>
      <c r="S986" s="38"/>
      <c r="T986" s="38"/>
      <c r="U986" s="38"/>
      <c r="V986" s="39"/>
      <c r="W986" s="38"/>
      <c r="X986" s="42"/>
      <c r="Y986" s="39"/>
      <c r="Z986" s="39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</row>
    <row r="987" ht="16.5" customHeight="1">
      <c r="A987" s="38"/>
      <c r="B987" s="38"/>
      <c r="C987" s="39"/>
      <c r="D987" s="38"/>
      <c r="E987" s="42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41"/>
      <c r="S987" s="38"/>
      <c r="T987" s="38"/>
      <c r="U987" s="38"/>
      <c r="V987" s="39"/>
      <c r="W987" s="38"/>
      <c r="X987" s="42"/>
      <c r="Y987" s="39"/>
      <c r="Z987" s="39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</row>
    <row r="988" ht="16.5" customHeight="1">
      <c r="A988" s="38"/>
      <c r="B988" s="38"/>
      <c r="C988" s="39"/>
      <c r="D988" s="38"/>
      <c r="E988" s="42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41"/>
      <c r="S988" s="38"/>
      <c r="T988" s="38"/>
      <c r="U988" s="38"/>
      <c r="V988" s="39"/>
      <c r="W988" s="38"/>
      <c r="X988" s="42"/>
      <c r="Y988" s="39"/>
      <c r="Z988" s="39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</row>
    <row r="989" ht="16.5" customHeight="1">
      <c r="A989" s="38"/>
      <c r="B989" s="38"/>
      <c r="C989" s="39"/>
      <c r="D989" s="38"/>
      <c r="E989" s="42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41"/>
      <c r="S989" s="38"/>
      <c r="T989" s="38"/>
      <c r="U989" s="38"/>
      <c r="V989" s="39"/>
      <c r="W989" s="38"/>
      <c r="X989" s="42"/>
      <c r="Y989" s="39"/>
      <c r="Z989" s="39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</row>
    <row r="990" ht="16.5" customHeight="1">
      <c r="A990" s="38"/>
      <c r="B990" s="38"/>
      <c r="C990" s="39"/>
      <c r="D990" s="38"/>
      <c r="E990" s="42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41"/>
      <c r="S990" s="38"/>
      <c r="T990" s="38"/>
      <c r="U990" s="38"/>
      <c r="V990" s="39"/>
      <c r="W990" s="38"/>
      <c r="X990" s="42"/>
      <c r="Y990" s="39"/>
      <c r="Z990" s="39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</row>
    <row r="991" ht="16.5" customHeight="1">
      <c r="A991" s="38"/>
      <c r="B991" s="38"/>
      <c r="C991" s="39"/>
      <c r="D991" s="38"/>
      <c r="E991" s="42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41"/>
      <c r="S991" s="38"/>
      <c r="T991" s="38"/>
      <c r="U991" s="38"/>
      <c r="V991" s="39"/>
      <c r="W991" s="38"/>
      <c r="X991" s="42"/>
      <c r="Y991" s="39"/>
      <c r="Z991" s="39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</row>
    <row r="992" ht="16.5" customHeight="1">
      <c r="A992" s="38"/>
      <c r="B992" s="38"/>
      <c r="C992" s="39"/>
      <c r="D992" s="38"/>
      <c r="E992" s="42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41"/>
      <c r="S992" s="38"/>
      <c r="T992" s="38"/>
      <c r="U992" s="38"/>
      <c r="V992" s="39"/>
      <c r="W992" s="38"/>
      <c r="X992" s="42"/>
      <c r="Y992" s="39"/>
      <c r="Z992" s="39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</row>
    <row r="993" ht="16.5" customHeight="1">
      <c r="A993" s="38"/>
      <c r="B993" s="38"/>
      <c r="C993" s="39"/>
      <c r="D993" s="38"/>
      <c r="E993" s="42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41"/>
      <c r="S993" s="38"/>
      <c r="T993" s="38"/>
      <c r="U993" s="38"/>
      <c r="V993" s="39"/>
      <c r="W993" s="38"/>
      <c r="X993" s="42"/>
      <c r="Y993" s="39"/>
      <c r="Z993" s="39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</row>
    <row r="994" ht="16.5" customHeight="1">
      <c r="A994" s="38"/>
      <c r="B994" s="38"/>
      <c r="C994" s="39"/>
      <c r="D994" s="38"/>
      <c r="E994" s="42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41"/>
      <c r="S994" s="38"/>
      <c r="T994" s="38"/>
      <c r="U994" s="38"/>
      <c r="V994" s="39"/>
      <c r="W994" s="38"/>
      <c r="X994" s="42"/>
      <c r="Y994" s="39"/>
      <c r="Z994" s="39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</row>
    <row r="995" ht="16.5" customHeight="1">
      <c r="A995" s="38"/>
      <c r="B995" s="38"/>
      <c r="C995" s="39"/>
      <c r="D995" s="38"/>
      <c r="E995" s="42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41"/>
      <c r="S995" s="38"/>
      <c r="T995" s="38"/>
      <c r="U995" s="38"/>
      <c r="V995" s="39"/>
      <c r="W995" s="38"/>
      <c r="X995" s="42"/>
      <c r="Y995" s="39"/>
      <c r="Z995" s="39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</row>
    <row r="996" ht="16.5" customHeight="1">
      <c r="A996" s="38"/>
      <c r="B996" s="38"/>
      <c r="C996" s="39"/>
      <c r="D996" s="38"/>
      <c r="E996" s="42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41"/>
      <c r="S996" s="38"/>
      <c r="T996" s="38"/>
      <c r="U996" s="38"/>
      <c r="V996" s="39"/>
      <c r="W996" s="38"/>
      <c r="X996" s="42"/>
      <c r="Y996" s="39"/>
      <c r="Z996" s="39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</row>
    <row r="997" ht="16.5" customHeight="1">
      <c r="A997" s="38"/>
      <c r="B997" s="38"/>
      <c r="C997" s="39"/>
      <c r="D997" s="38"/>
      <c r="E997" s="42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41"/>
      <c r="S997" s="38"/>
      <c r="T997" s="38"/>
      <c r="U997" s="38"/>
      <c r="V997" s="39"/>
      <c r="W997" s="38"/>
      <c r="X997" s="42"/>
      <c r="Y997" s="39"/>
      <c r="Z997" s="39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</row>
    <row r="998" ht="16.5" customHeight="1">
      <c r="A998" s="38"/>
      <c r="B998" s="38"/>
      <c r="C998" s="39"/>
      <c r="D998" s="38"/>
      <c r="E998" s="42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41"/>
      <c r="S998" s="38"/>
      <c r="T998" s="38"/>
      <c r="U998" s="38"/>
      <c r="V998" s="39"/>
      <c r="W998" s="38"/>
      <c r="X998" s="42"/>
      <c r="Y998" s="39"/>
      <c r="Z998" s="39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</row>
    <row r="999" ht="16.5" customHeight="1">
      <c r="A999" s="38"/>
      <c r="B999" s="38"/>
      <c r="C999" s="39"/>
      <c r="D999" s="38"/>
      <c r="E999" s="42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41"/>
      <c r="S999" s="38"/>
      <c r="T999" s="38"/>
      <c r="U999" s="38"/>
      <c r="V999" s="39"/>
      <c r="W999" s="38"/>
      <c r="X999" s="42"/>
      <c r="Y999" s="39"/>
      <c r="Z999" s="39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</row>
    <row r="1000" ht="16.5" customHeight="1">
      <c r="A1000" s="38"/>
      <c r="B1000" s="38"/>
      <c r="C1000" s="39"/>
      <c r="D1000" s="38"/>
      <c r="E1000" s="42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41"/>
      <c r="S1000" s="38"/>
      <c r="T1000" s="38"/>
      <c r="U1000" s="38"/>
      <c r="V1000" s="39"/>
      <c r="W1000" s="38"/>
      <c r="X1000" s="42"/>
      <c r="Y1000" s="39"/>
      <c r="Z1000" s="39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</row>
  </sheetData>
  <autoFilter ref="$C$7:$BA$65">
    <sortState ref="C7:BA65">
      <sortCondition ref="C7:C65"/>
    </sortState>
  </autoFilter>
  <mergeCells count="6">
    <mergeCell ref="C3:Q3"/>
    <mergeCell ref="V3:Z3"/>
    <mergeCell ref="F5:K5"/>
    <mergeCell ref="L5:Q5"/>
    <mergeCell ref="H6:I6"/>
    <mergeCell ref="N6:O6"/>
  </mergeCells>
  <conditionalFormatting sqref="I10:J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O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:P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:Q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1" width="9.14"/>
    <col customWidth="1" min="2" max="2" width="11.29"/>
    <col customWidth="1" min="3" max="3" width="21.0"/>
    <col customWidth="1" min="4" max="12" width="9.14"/>
    <col customWidth="1" min="13" max="13" width="10.57"/>
    <col customWidth="1" min="14" max="14" width="12.0"/>
    <col customWidth="1" min="15" max="18" width="9.14"/>
    <col customWidth="1" min="19" max="20" width="14.86"/>
    <col customWidth="1" min="21" max="24" width="9.14"/>
    <col customWidth="1" min="25" max="25" width="15.71"/>
    <col customWidth="1" min="26" max="26" width="17.71"/>
    <col customWidth="1" min="27" max="27" width="17.14"/>
    <col customWidth="1" min="28" max="28" width="14.14"/>
    <col customWidth="1" min="29" max="29" width="12.43"/>
    <col customWidth="1" min="30" max="30" width="17.0"/>
  </cols>
  <sheetData>
    <row r="1" ht="16.5" customHeight="1">
      <c r="A1" s="38"/>
      <c r="B1" s="43" t="s">
        <v>155</v>
      </c>
    </row>
    <row r="2" ht="16.5" customHeight="1">
      <c r="A2" s="38"/>
      <c r="B2" s="39"/>
      <c r="C2" s="65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8"/>
    </row>
    <row r="3" ht="15.0" customHeight="1">
      <c r="A3" s="38"/>
      <c r="B3" s="66" t="s">
        <v>156</v>
      </c>
      <c r="C3" s="67" t="s">
        <v>2</v>
      </c>
      <c r="D3" s="68" t="s">
        <v>6</v>
      </c>
      <c r="E3" s="48" t="s">
        <v>7</v>
      </c>
      <c r="F3" s="14"/>
      <c r="G3" s="14"/>
      <c r="H3" s="14"/>
      <c r="I3" s="10"/>
      <c r="J3" s="48" t="s">
        <v>8</v>
      </c>
      <c r="K3" s="14"/>
      <c r="L3" s="14"/>
      <c r="M3" s="14"/>
      <c r="N3" s="10"/>
      <c r="O3" s="48" t="s">
        <v>157</v>
      </c>
      <c r="P3" s="14"/>
      <c r="Q3" s="14"/>
      <c r="R3" s="14"/>
      <c r="S3" s="14"/>
      <c r="T3" s="10"/>
      <c r="U3" s="48" t="s">
        <v>158</v>
      </c>
      <c r="V3" s="14"/>
      <c r="W3" s="14"/>
      <c r="X3" s="14"/>
      <c r="Y3" s="14"/>
      <c r="Z3" s="10"/>
      <c r="AA3" s="69" t="s">
        <v>159</v>
      </c>
      <c r="AB3" s="14"/>
      <c r="AC3" s="10"/>
      <c r="AD3" s="70" t="s">
        <v>160</v>
      </c>
    </row>
    <row r="4" ht="16.5" customHeight="1">
      <c r="A4" s="38"/>
      <c r="B4" s="71"/>
      <c r="C4" s="71"/>
      <c r="D4" s="71"/>
      <c r="E4" s="45" t="s">
        <v>21</v>
      </c>
      <c r="F4" s="45" t="s">
        <v>22</v>
      </c>
      <c r="G4" s="48" t="s">
        <v>161</v>
      </c>
      <c r="H4" s="10"/>
      <c r="I4" s="45" t="s">
        <v>24</v>
      </c>
      <c r="J4" s="45" t="s">
        <v>25</v>
      </c>
      <c r="K4" s="45" t="s">
        <v>26</v>
      </c>
      <c r="L4" s="48" t="s">
        <v>161</v>
      </c>
      <c r="M4" s="10"/>
      <c r="N4" s="45" t="s">
        <v>27</v>
      </c>
      <c r="O4" s="45">
        <v>2024.0</v>
      </c>
      <c r="P4" s="45">
        <v>2025.0</v>
      </c>
      <c r="Q4" s="48" t="s">
        <v>162</v>
      </c>
      <c r="R4" s="10"/>
      <c r="S4" s="45" t="s">
        <v>163</v>
      </c>
      <c r="T4" s="45" t="s">
        <v>164</v>
      </c>
      <c r="U4" s="45">
        <v>2024.0</v>
      </c>
      <c r="V4" s="45">
        <v>2025.0</v>
      </c>
      <c r="W4" s="48" t="s">
        <v>162</v>
      </c>
      <c r="X4" s="10"/>
      <c r="Y4" s="45" t="s">
        <v>165</v>
      </c>
      <c r="Z4" s="45" t="s">
        <v>166</v>
      </c>
      <c r="AA4" s="45" t="s">
        <v>167</v>
      </c>
      <c r="AB4" s="46" t="s">
        <v>168</v>
      </c>
      <c r="AC4" s="45" t="s">
        <v>169</v>
      </c>
      <c r="AD4" s="23"/>
    </row>
    <row r="5" ht="16.5" customHeight="1">
      <c r="A5" s="38"/>
      <c r="B5" s="23"/>
      <c r="C5" s="23"/>
      <c r="D5" s="23"/>
      <c r="E5" s="46" t="s">
        <v>42</v>
      </c>
      <c r="F5" s="46" t="s">
        <v>42</v>
      </c>
      <c r="G5" s="46" t="s">
        <v>42</v>
      </c>
      <c r="H5" s="46" t="s">
        <v>40</v>
      </c>
      <c r="I5" s="45" t="s">
        <v>41</v>
      </c>
      <c r="J5" s="46" t="s">
        <v>42</v>
      </c>
      <c r="K5" s="46" t="s">
        <v>42</v>
      </c>
      <c r="L5" s="46" t="s">
        <v>42</v>
      </c>
      <c r="M5" s="46" t="s">
        <v>40</v>
      </c>
      <c r="N5" s="45" t="s">
        <v>41</v>
      </c>
      <c r="O5" s="46" t="s">
        <v>42</v>
      </c>
      <c r="P5" s="46" t="s">
        <v>42</v>
      </c>
      <c r="Q5" s="46" t="s">
        <v>42</v>
      </c>
      <c r="R5" s="46" t="s">
        <v>40</v>
      </c>
      <c r="S5" s="46" t="s">
        <v>170</v>
      </c>
      <c r="T5" s="46" t="s">
        <v>41</v>
      </c>
      <c r="U5" s="46" t="s">
        <v>42</v>
      </c>
      <c r="V5" s="46" t="s">
        <v>42</v>
      </c>
      <c r="W5" s="46" t="s">
        <v>42</v>
      </c>
      <c r="X5" s="46" t="s">
        <v>40</v>
      </c>
      <c r="Y5" s="46" t="s">
        <v>170</v>
      </c>
      <c r="Z5" s="46" t="s">
        <v>41</v>
      </c>
      <c r="AA5" s="46" t="s">
        <v>42</v>
      </c>
      <c r="AB5" s="46" t="s">
        <v>42</v>
      </c>
      <c r="AC5" s="46" t="s">
        <v>42</v>
      </c>
      <c r="AD5" s="46" t="s">
        <v>41</v>
      </c>
    </row>
    <row r="6" ht="16.5" customHeight="1">
      <c r="A6" s="72"/>
      <c r="B6" s="73"/>
      <c r="C6" s="73" t="s">
        <v>171</v>
      </c>
      <c r="D6" s="74"/>
      <c r="E6" s="73">
        <f t="shared" ref="E6:G6" si="1">SUM(E8:E63)</f>
        <v>668</v>
      </c>
      <c r="F6" s="73">
        <f t="shared" si="1"/>
        <v>712</v>
      </c>
      <c r="G6" s="73">
        <f t="shared" si="1"/>
        <v>44</v>
      </c>
      <c r="H6" s="75">
        <f>G6/E6</f>
        <v>0.06586826347</v>
      </c>
      <c r="I6" s="73" t="s">
        <v>41</v>
      </c>
      <c r="J6" s="73">
        <f t="shared" ref="J6:L6" si="2">SUM(J8:J63)</f>
        <v>538</v>
      </c>
      <c r="K6" s="73">
        <f t="shared" si="2"/>
        <v>682</v>
      </c>
      <c r="L6" s="73">
        <f t="shared" si="2"/>
        <v>144</v>
      </c>
      <c r="M6" s="75">
        <f>L6/J6</f>
        <v>0.2676579926</v>
      </c>
      <c r="N6" s="73" t="s">
        <v>41</v>
      </c>
      <c r="O6" s="76">
        <f t="shared" ref="O6:Q6" si="3">SUM(O8:O63)</f>
        <v>7377</v>
      </c>
      <c r="P6" s="76">
        <f t="shared" si="3"/>
        <v>9514</v>
      </c>
      <c r="Q6" s="76">
        <f t="shared" si="3"/>
        <v>2137</v>
      </c>
      <c r="R6" s="75">
        <f>Q6/O6</f>
        <v>0.2896841534</v>
      </c>
      <c r="S6" s="77">
        <f t="shared" ref="S6:W6" si="4">SUM(S8:S63)</f>
        <v>596.9913513</v>
      </c>
      <c r="T6" s="73">
        <f t="shared" si="4"/>
        <v>1593</v>
      </c>
      <c r="U6" s="76">
        <f t="shared" si="4"/>
        <v>35716</v>
      </c>
      <c r="V6" s="76">
        <f t="shared" si="4"/>
        <v>30413</v>
      </c>
      <c r="W6" s="76">
        <f t="shared" si="4"/>
        <v>-5303</v>
      </c>
      <c r="X6" s="75">
        <f>W6/U6</f>
        <v>-0.1484768731</v>
      </c>
      <c r="Y6" s="73" t="s">
        <v>41</v>
      </c>
      <c r="Z6" s="73" t="s">
        <v>41</v>
      </c>
      <c r="AA6" s="73">
        <f t="shared" ref="AA6:AC6" si="5">COUNTIFS(AA8:AA63,"+")</f>
        <v>27</v>
      </c>
      <c r="AB6" s="73">
        <f t="shared" si="5"/>
        <v>35</v>
      </c>
      <c r="AC6" s="73">
        <f t="shared" si="5"/>
        <v>38</v>
      </c>
      <c r="AD6" s="73" t="s">
        <v>41</v>
      </c>
    </row>
    <row r="7" ht="16.5" customHeight="1">
      <c r="A7" s="78"/>
      <c r="B7" s="79">
        <v>1.0</v>
      </c>
      <c r="C7" s="79">
        <f t="shared" ref="C7:AD7" si="6">B7+1</f>
        <v>2</v>
      </c>
      <c r="D7" s="79">
        <f t="shared" si="6"/>
        <v>3</v>
      </c>
      <c r="E7" s="79">
        <f t="shared" si="6"/>
        <v>4</v>
      </c>
      <c r="F7" s="79">
        <f t="shared" si="6"/>
        <v>5</v>
      </c>
      <c r="G7" s="79">
        <f t="shared" si="6"/>
        <v>6</v>
      </c>
      <c r="H7" s="79">
        <f t="shared" si="6"/>
        <v>7</v>
      </c>
      <c r="I7" s="79">
        <f t="shared" si="6"/>
        <v>8</v>
      </c>
      <c r="J7" s="79">
        <f t="shared" si="6"/>
        <v>9</v>
      </c>
      <c r="K7" s="79">
        <f t="shared" si="6"/>
        <v>10</v>
      </c>
      <c r="L7" s="79">
        <f t="shared" si="6"/>
        <v>11</v>
      </c>
      <c r="M7" s="79">
        <f t="shared" si="6"/>
        <v>12</v>
      </c>
      <c r="N7" s="79">
        <f t="shared" si="6"/>
        <v>13</v>
      </c>
      <c r="O7" s="79">
        <f t="shared" si="6"/>
        <v>14</v>
      </c>
      <c r="P7" s="79">
        <f t="shared" si="6"/>
        <v>15</v>
      </c>
      <c r="Q7" s="79">
        <f t="shared" si="6"/>
        <v>16</v>
      </c>
      <c r="R7" s="79">
        <f t="shared" si="6"/>
        <v>17</v>
      </c>
      <c r="S7" s="79">
        <f t="shared" si="6"/>
        <v>18</v>
      </c>
      <c r="T7" s="79">
        <f t="shared" si="6"/>
        <v>19</v>
      </c>
      <c r="U7" s="79">
        <f t="shared" si="6"/>
        <v>20</v>
      </c>
      <c r="V7" s="79">
        <f t="shared" si="6"/>
        <v>21</v>
      </c>
      <c r="W7" s="79">
        <f t="shared" si="6"/>
        <v>22</v>
      </c>
      <c r="X7" s="79">
        <f t="shared" si="6"/>
        <v>23</v>
      </c>
      <c r="Y7" s="79">
        <f t="shared" si="6"/>
        <v>24</v>
      </c>
      <c r="Z7" s="79">
        <f t="shared" si="6"/>
        <v>25</v>
      </c>
      <c r="AA7" s="79">
        <f t="shared" si="6"/>
        <v>26</v>
      </c>
      <c r="AB7" s="79">
        <f t="shared" si="6"/>
        <v>27</v>
      </c>
      <c r="AC7" s="79">
        <f t="shared" si="6"/>
        <v>28</v>
      </c>
      <c r="AD7" s="79">
        <f t="shared" si="6"/>
        <v>29</v>
      </c>
    </row>
    <row r="8" ht="16.5" customHeight="1">
      <c r="A8" s="38"/>
      <c r="B8" s="56">
        <v>1.0</v>
      </c>
      <c r="C8" s="80" t="s">
        <v>81</v>
      </c>
      <c r="D8" s="58">
        <v>133149.0</v>
      </c>
      <c r="E8" s="56">
        <v>45.0</v>
      </c>
      <c r="F8" s="56">
        <v>34.0</v>
      </c>
      <c r="G8" s="56">
        <v>-11.0</v>
      </c>
      <c r="H8" s="59">
        <v>-0.24444444444444444</v>
      </c>
      <c r="I8" s="56">
        <v>4.0</v>
      </c>
      <c r="J8" s="56">
        <v>30.0</v>
      </c>
      <c r="K8" s="56">
        <v>45.0</v>
      </c>
      <c r="L8" s="56">
        <v>15.0</v>
      </c>
      <c r="M8" s="59">
        <v>0.5</v>
      </c>
      <c r="N8" s="56">
        <v>5.0</v>
      </c>
      <c r="O8" s="56">
        <v>432.0</v>
      </c>
      <c r="P8" s="56">
        <v>571.0</v>
      </c>
      <c r="Q8" s="56">
        <v>139.0</v>
      </c>
      <c r="R8" s="59">
        <v>0.32175925925925924</v>
      </c>
      <c r="S8" s="60">
        <v>42.88428752750678</v>
      </c>
      <c r="T8" s="56">
        <v>1.0</v>
      </c>
      <c r="U8" s="56">
        <v>2141.0</v>
      </c>
      <c r="V8" s="56">
        <v>1703.0</v>
      </c>
      <c r="W8" s="56">
        <v>-438.0</v>
      </c>
      <c r="X8" s="59">
        <v>-0.20457730032695</v>
      </c>
      <c r="Y8" s="60">
        <v>127.90182427205612</v>
      </c>
      <c r="Z8" s="56">
        <v>2.0</v>
      </c>
      <c r="AA8" s="56" t="s">
        <v>0</v>
      </c>
      <c r="AB8" s="56" t="s">
        <v>0</v>
      </c>
      <c r="AC8" s="56" t="str">
        <f t="shared" ref="AC8:AC63" si="7">IF(OR(AA8="+",AB8="+"),"+","-")</f>
        <v>+</v>
      </c>
      <c r="AD8" s="56" t="str">
        <f>VLOOKUP(C8,'1_Ранг лучших динамика'!D:R,'1_Ранг лучших динамика'!Q$9,FALSE)</f>
        <v>#N/A</v>
      </c>
    </row>
    <row r="9" ht="16.5" customHeight="1">
      <c r="A9" s="38"/>
      <c r="B9" s="56">
        <f t="shared" ref="B9:B63" si="8">B8+1</f>
        <v>2</v>
      </c>
      <c r="C9" s="80" t="s">
        <v>54</v>
      </c>
      <c r="D9" s="58">
        <v>118268.0</v>
      </c>
      <c r="E9" s="56">
        <v>14.0</v>
      </c>
      <c r="F9" s="56">
        <v>23.0</v>
      </c>
      <c r="G9" s="56">
        <v>9.0</v>
      </c>
      <c r="H9" s="59">
        <v>0.6428571428571429</v>
      </c>
      <c r="I9" s="56">
        <v>14.0</v>
      </c>
      <c r="J9" s="56">
        <v>12.0</v>
      </c>
      <c r="K9" s="56">
        <v>22.0</v>
      </c>
      <c r="L9" s="56">
        <v>10.0</v>
      </c>
      <c r="M9" s="59">
        <v>0.8333333333333334</v>
      </c>
      <c r="N9" s="56">
        <v>9.0</v>
      </c>
      <c r="O9" s="56">
        <v>196.0</v>
      </c>
      <c r="P9" s="56">
        <v>312.0</v>
      </c>
      <c r="Q9" s="56">
        <v>116.0</v>
      </c>
      <c r="R9" s="59">
        <v>0.5918367346938775</v>
      </c>
      <c r="S9" s="60">
        <v>26.380762336388543</v>
      </c>
      <c r="T9" s="56">
        <v>4.0</v>
      </c>
      <c r="U9" s="56">
        <v>2437.0</v>
      </c>
      <c r="V9" s="56">
        <v>1384.0</v>
      </c>
      <c r="W9" s="56">
        <v>-1053.0</v>
      </c>
      <c r="X9" s="59">
        <v>-0.43208863356585964</v>
      </c>
      <c r="Y9" s="60">
        <v>117.02235600500558</v>
      </c>
      <c r="Z9" s="56">
        <v>3.0</v>
      </c>
      <c r="AA9" s="56" t="s">
        <v>0</v>
      </c>
      <c r="AB9" s="56" t="s">
        <v>0</v>
      </c>
      <c r="AC9" s="56" t="str">
        <f t="shared" si="7"/>
        <v>+</v>
      </c>
      <c r="AD9" s="56">
        <f>VLOOKUP(C9,'1_Ранг лучших динамика'!D:R,'1_Ранг лучших динамика'!Q$9,FALSE)</f>
        <v>26</v>
      </c>
    </row>
    <row r="10" ht="16.5" customHeight="1">
      <c r="A10" s="38"/>
      <c r="B10" s="56">
        <f t="shared" si="8"/>
        <v>3</v>
      </c>
      <c r="C10" s="80" t="s">
        <v>60</v>
      </c>
      <c r="D10" s="58">
        <v>172848.0</v>
      </c>
      <c r="E10" s="56">
        <v>32.0</v>
      </c>
      <c r="F10" s="56">
        <v>33.0</v>
      </c>
      <c r="G10" s="56">
        <v>1.0</v>
      </c>
      <c r="H10" s="59">
        <v>0.03125</v>
      </c>
      <c r="I10" s="56">
        <v>5.0</v>
      </c>
      <c r="J10" s="56">
        <v>22.0</v>
      </c>
      <c r="K10" s="56">
        <v>23.0</v>
      </c>
      <c r="L10" s="56">
        <v>1.0</v>
      </c>
      <c r="M10" s="59">
        <v>0.045454545454545456</v>
      </c>
      <c r="N10" s="56">
        <v>8.0</v>
      </c>
      <c r="O10" s="56">
        <v>200.0</v>
      </c>
      <c r="P10" s="56">
        <v>486.0</v>
      </c>
      <c r="Q10" s="56">
        <v>286.0</v>
      </c>
      <c r="R10" s="59">
        <v>1.43</v>
      </c>
      <c r="S10" s="60">
        <v>28.11718966953624</v>
      </c>
      <c r="T10" s="56">
        <v>3.0</v>
      </c>
      <c r="U10" s="56">
        <v>975.0</v>
      </c>
      <c r="V10" s="56">
        <v>1621.0</v>
      </c>
      <c r="W10" s="56">
        <v>646.0</v>
      </c>
      <c r="X10" s="59">
        <v>0.6625641025641026</v>
      </c>
      <c r="Y10" s="60">
        <v>93.78181986485235</v>
      </c>
      <c r="Z10" s="56">
        <v>5.0</v>
      </c>
      <c r="AA10" s="56" t="s">
        <v>0</v>
      </c>
      <c r="AB10" s="56" t="s">
        <v>0</v>
      </c>
      <c r="AC10" s="56" t="str">
        <f t="shared" si="7"/>
        <v>+</v>
      </c>
      <c r="AD10" s="56" t="str">
        <f>VLOOKUP(C10,'1_Ранг лучших динамика'!D:R,'1_Ранг лучших динамика'!Q$9,FALSE)</f>
        <v>#N/A</v>
      </c>
    </row>
    <row r="11" ht="16.5" customHeight="1">
      <c r="A11" s="38"/>
      <c r="B11" s="56">
        <f t="shared" si="8"/>
        <v>4</v>
      </c>
      <c r="C11" s="80" t="s">
        <v>55</v>
      </c>
      <c r="D11" s="58">
        <v>146908.0</v>
      </c>
      <c r="E11" s="56">
        <v>18.0</v>
      </c>
      <c r="F11" s="56">
        <v>58.0</v>
      </c>
      <c r="G11" s="56">
        <v>40.0</v>
      </c>
      <c r="H11" s="59">
        <v>2.2222222222222223</v>
      </c>
      <c r="I11" s="56">
        <v>1.0</v>
      </c>
      <c r="J11" s="56">
        <v>20.0</v>
      </c>
      <c r="K11" s="56">
        <v>87.0</v>
      </c>
      <c r="L11" s="56">
        <v>67.0</v>
      </c>
      <c r="M11" s="59">
        <v>3.35</v>
      </c>
      <c r="N11" s="56">
        <v>2.0</v>
      </c>
      <c r="O11" s="56">
        <v>239.0</v>
      </c>
      <c r="P11" s="56">
        <v>313.0</v>
      </c>
      <c r="Q11" s="56">
        <v>74.0</v>
      </c>
      <c r="R11" s="59">
        <v>0.30962343096234307</v>
      </c>
      <c r="S11" s="60">
        <v>21.30585128107387</v>
      </c>
      <c r="T11" s="56">
        <v>6.0</v>
      </c>
      <c r="U11" s="56">
        <v>2706.0</v>
      </c>
      <c r="V11" s="56">
        <v>1216.0</v>
      </c>
      <c r="W11" s="56">
        <v>-1490.0</v>
      </c>
      <c r="X11" s="59">
        <v>-0.5506282335550629</v>
      </c>
      <c r="Y11" s="60">
        <v>82.77289187790998</v>
      </c>
      <c r="Z11" s="56">
        <v>6.0</v>
      </c>
      <c r="AA11" s="56" t="s">
        <v>0</v>
      </c>
      <c r="AB11" s="56" t="s">
        <v>0</v>
      </c>
      <c r="AC11" s="56" t="str">
        <f t="shared" si="7"/>
        <v>+</v>
      </c>
      <c r="AD11" s="56" t="str">
        <f>VLOOKUP(C11,'1_Ранг лучших динамика'!D:R,'1_Ранг лучших динамика'!Q$9,FALSE)</f>
        <v>#N/A</v>
      </c>
    </row>
    <row r="12" ht="16.5" customHeight="1">
      <c r="A12" s="38"/>
      <c r="B12" s="56">
        <f t="shared" si="8"/>
        <v>5</v>
      </c>
      <c r="C12" s="80" t="s">
        <v>80</v>
      </c>
      <c r="D12" s="58">
        <v>334391.0</v>
      </c>
      <c r="E12" s="56">
        <v>47.0</v>
      </c>
      <c r="F12" s="56">
        <v>31.0</v>
      </c>
      <c r="G12" s="56">
        <v>-16.0</v>
      </c>
      <c r="H12" s="59">
        <v>-0.3404255319148936</v>
      </c>
      <c r="I12" s="56">
        <v>7.0</v>
      </c>
      <c r="J12" s="56">
        <v>53.0</v>
      </c>
      <c r="K12" s="56">
        <v>71.0</v>
      </c>
      <c r="L12" s="56">
        <v>18.0</v>
      </c>
      <c r="M12" s="59">
        <v>0.33962264150943394</v>
      </c>
      <c r="N12" s="56">
        <v>3.0</v>
      </c>
      <c r="O12" s="56">
        <v>787.0</v>
      </c>
      <c r="P12" s="56">
        <v>709.0</v>
      </c>
      <c r="Q12" s="56">
        <v>-78.0</v>
      </c>
      <c r="R12" s="59">
        <v>-0.09911054637865312</v>
      </c>
      <c r="S12" s="60">
        <v>21.202723757517397</v>
      </c>
      <c r="T12" s="56">
        <v>7.0</v>
      </c>
      <c r="U12" s="56">
        <v>4445.0</v>
      </c>
      <c r="V12" s="56">
        <v>2581.0</v>
      </c>
      <c r="W12" s="56">
        <v>-1864.0</v>
      </c>
      <c r="X12" s="59">
        <v>-0.41934758155230595</v>
      </c>
      <c r="Y12" s="60">
        <v>77.18509170402314</v>
      </c>
      <c r="Z12" s="56">
        <v>7.0</v>
      </c>
      <c r="AA12" s="56" t="s">
        <v>0</v>
      </c>
      <c r="AB12" s="56" t="s">
        <v>0</v>
      </c>
      <c r="AC12" s="56" t="str">
        <f t="shared" si="7"/>
        <v>+</v>
      </c>
      <c r="AD12" s="56" t="str">
        <f>VLOOKUP(C12,'1_Ранг лучших динамика'!D:R,'1_Ранг лучших динамика'!Q$9,FALSE)</f>
        <v>#N/A</v>
      </c>
    </row>
    <row r="13" ht="16.5" customHeight="1">
      <c r="A13" s="38"/>
      <c r="B13" s="56">
        <f t="shared" si="8"/>
        <v>6</v>
      </c>
      <c r="C13" s="80" t="s">
        <v>69</v>
      </c>
      <c r="D13" s="58">
        <v>164318.0</v>
      </c>
      <c r="E13" s="56">
        <v>29.0</v>
      </c>
      <c r="F13" s="56">
        <v>29.0</v>
      </c>
      <c r="G13" s="56">
        <v>0.0</v>
      </c>
      <c r="H13" s="59">
        <v>0.0</v>
      </c>
      <c r="I13" s="56">
        <v>8.0</v>
      </c>
      <c r="J13" s="56">
        <v>12.0</v>
      </c>
      <c r="K13" s="56">
        <v>53.0</v>
      </c>
      <c r="L13" s="56">
        <v>41.0</v>
      </c>
      <c r="M13" s="59">
        <v>3.4166666666666665</v>
      </c>
      <c r="N13" s="56">
        <v>4.0</v>
      </c>
      <c r="O13" s="56">
        <v>44.0</v>
      </c>
      <c r="P13" s="56">
        <v>220.0</v>
      </c>
      <c r="Q13" s="56">
        <v>176.0</v>
      </c>
      <c r="R13" s="59">
        <v>4.0</v>
      </c>
      <c r="S13" s="60">
        <v>13.388673182487615</v>
      </c>
      <c r="T13" s="56">
        <v>14.0</v>
      </c>
      <c r="U13" s="56">
        <v>962.0</v>
      </c>
      <c r="V13" s="56">
        <v>2203.0</v>
      </c>
      <c r="W13" s="56">
        <v>1241.0</v>
      </c>
      <c r="X13" s="59">
        <v>1.29002079002079</v>
      </c>
      <c r="Y13" s="60">
        <v>134.069304641001</v>
      </c>
      <c r="Z13" s="56">
        <v>1.0</v>
      </c>
      <c r="AA13" s="56" t="s">
        <v>0</v>
      </c>
      <c r="AB13" s="56" t="s">
        <v>172</v>
      </c>
      <c r="AC13" s="56" t="str">
        <f t="shared" si="7"/>
        <v>+</v>
      </c>
      <c r="AD13" s="56" t="str">
        <f>VLOOKUP(C13,'1_Ранг лучших динамика'!D:R,'1_Ранг лучших динамика'!Q$9,FALSE)</f>
        <v>#N/A</v>
      </c>
    </row>
    <row r="14" ht="16.5" customHeight="1">
      <c r="A14" s="38"/>
      <c r="B14" s="56">
        <f t="shared" si="8"/>
        <v>7</v>
      </c>
      <c r="C14" s="80" t="s">
        <v>78</v>
      </c>
      <c r="D14" s="58">
        <v>194589.0</v>
      </c>
      <c r="E14" s="56">
        <v>28.0</v>
      </c>
      <c r="F14" s="56">
        <v>29.0</v>
      </c>
      <c r="G14" s="56">
        <v>1.0</v>
      </c>
      <c r="H14" s="59">
        <v>0.03571428571428571</v>
      </c>
      <c r="I14" s="56">
        <v>8.0</v>
      </c>
      <c r="J14" s="56">
        <v>9.0</v>
      </c>
      <c r="K14" s="56">
        <v>16.0</v>
      </c>
      <c r="L14" s="56">
        <v>7.0</v>
      </c>
      <c r="M14" s="59">
        <v>0.7777777777777778</v>
      </c>
      <c r="N14" s="56">
        <v>14.0</v>
      </c>
      <c r="O14" s="56">
        <v>347.0</v>
      </c>
      <c r="P14" s="56">
        <v>424.0</v>
      </c>
      <c r="Q14" s="56">
        <v>77.0</v>
      </c>
      <c r="R14" s="59">
        <v>0.2219020172910663</v>
      </c>
      <c r="S14" s="60">
        <v>21.78951533745484</v>
      </c>
      <c r="T14" s="56">
        <v>5.0</v>
      </c>
      <c r="U14" s="56">
        <v>946.0</v>
      </c>
      <c r="V14" s="56">
        <v>1098.0</v>
      </c>
      <c r="W14" s="56">
        <v>152.0</v>
      </c>
      <c r="X14" s="59">
        <v>0.160676532769556</v>
      </c>
      <c r="Y14" s="60">
        <v>56.42662226539013</v>
      </c>
      <c r="Z14" s="56">
        <v>11.0</v>
      </c>
      <c r="AA14" s="56" t="s">
        <v>0</v>
      </c>
      <c r="AB14" s="56" t="s">
        <v>0</v>
      </c>
      <c r="AC14" s="56" t="str">
        <f t="shared" si="7"/>
        <v>+</v>
      </c>
      <c r="AD14" s="56" t="str">
        <f>VLOOKUP(C14,'1_Ранг лучших динамика'!D:R,'1_Ранг лучших динамика'!Q$9,FALSE)</f>
        <v>#N/A</v>
      </c>
    </row>
    <row r="15" ht="16.5" customHeight="1">
      <c r="A15" s="38"/>
      <c r="B15" s="56">
        <f t="shared" si="8"/>
        <v>8</v>
      </c>
      <c r="C15" s="80" t="s">
        <v>61</v>
      </c>
      <c r="D15" s="58">
        <v>79513.0</v>
      </c>
      <c r="E15" s="56">
        <v>20.0</v>
      </c>
      <c r="F15" s="56">
        <v>33.0</v>
      </c>
      <c r="G15" s="56">
        <v>13.0</v>
      </c>
      <c r="H15" s="59">
        <v>0.65</v>
      </c>
      <c r="I15" s="56">
        <v>5.0</v>
      </c>
      <c r="J15" s="56">
        <v>5.0</v>
      </c>
      <c r="K15" s="56">
        <v>6.0</v>
      </c>
      <c r="L15" s="56">
        <v>1.0</v>
      </c>
      <c r="M15" s="59">
        <v>0.2</v>
      </c>
      <c r="N15" s="56">
        <v>23.0</v>
      </c>
      <c r="O15" s="56">
        <v>75.0</v>
      </c>
      <c r="P15" s="56">
        <v>130.0</v>
      </c>
      <c r="Q15" s="56">
        <v>55.0</v>
      </c>
      <c r="R15" s="59">
        <v>0.7333333333333333</v>
      </c>
      <c r="S15" s="60">
        <v>16.349527750179217</v>
      </c>
      <c r="T15" s="56">
        <v>10.0</v>
      </c>
      <c r="U15" s="56">
        <v>386.0</v>
      </c>
      <c r="V15" s="56">
        <v>527.0</v>
      </c>
      <c r="W15" s="56">
        <v>141.0</v>
      </c>
      <c r="X15" s="59">
        <v>0.36528497409326427</v>
      </c>
      <c r="Y15" s="60">
        <v>66.27847018726497</v>
      </c>
      <c r="Z15" s="56">
        <v>8.0</v>
      </c>
      <c r="AA15" s="56" t="s">
        <v>0</v>
      </c>
      <c r="AB15" s="81" t="s">
        <v>173</v>
      </c>
      <c r="AC15" s="56" t="str">
        <f t="shared" si="7"/>
        <v>+</v>
      </c>
      <c r="AD15" s="56" t="str">
        <f>VLOOKUP(C15,'1_Ранг лучших динамика'!D:R,'1_Ранг лучших динамика'!Q$9,FALSE)</f>
        <v>#N/A</v>
      </c>
    </row>
    <row r="16" ht="16.5" customHeight="1">
      <c r="A16" s="38"/>
      <c r="B16" s="56">
        <f t="shared" si="8"/>
        <v>9</v>
      </c>
      <c r="C16" s="80" t="s">
        <v>56</v>
      </c>
      <c r="D16" s="58">
        <v>66371.0</v>
      </c>
      <c r="E16" s="56">
        <v>13.0</v>
      </c>
      <c r="F16" s="56">
        <v>12.0</v>
      </c>
      <c r="G16" s="56">
        <v>-1.0</v>
      </c>
      <c r="H16" s="59">
        <v>-0.07692307692307693</v>
      </c>
      <c r="I16" s="56">
        <v>22.0</v>
      </c>
      <c r="J16" s="56">
        <v>20.0</v>
      </c>
      <c r="K16" s="56">
        <v>6.0</v>
      </c>
      <c r="L16" s="56">
        <v>-14.0</v>
      </c>
      <c r="M16" s="59">
        <v>-0.7</v>
      </c>
      <c r="N16" s="56">
        <v>23.0</v>
      </c>
      <c r="O16" s="56">
        <v>84.0</v>
      </c>
      <c r="P16" s="56">
        <v>124.0</v>
      </c>
      <c r="Q16" s="56">
        <v>40.0</v>
      </c>
      <c r="R16" s="59">
        <v>0.47619047619047616</v>
      </c>
      <c r="S16" s="60">
        <v>18.682858477347033</v>
      </c>
      <c r="T16" s="56">
        <v>9.0</v>
      </c>
      <c r="U16" s="56">
        <v>312.0</v>
      </c>
      <c r="V16" s="56">
        <v>377.0</v>
      </c>
      <c r="W16" s="56">
        <v>65.0</v>
      </c>
      <c r="X16" s="59">
        <v>0.20833333333333334</v>
      </c>
      <c r="Y16" s="60">
        <v>56.80191649967606</v>
      </c>
      <c r="Z16" s="56">
        <v>10.0</v>
      </c>
      <c r="AA16" s="56" t="s">
        <v>0</v>
      </c>
      <c r="AB16" s="56" t="s">
        <v>0</v>
      </c>
      <c r="AC16" s="56" t="str">
        <f t="shared" si="7"/>
        <v>+</v>
      </c>
      <c r="AD16" s="56" t="str">
        <f>VLOOKUP(C16,'1_Ранг лучших динамика'!D:R,'1_Ранг лучших динамика'!Q$9,FALSE)</f>
        <v>#N/A</v>
      </c>
    </row>
    <row r="17" ht="16.5" customHeight="1">
      <c r="A17" s="38"/>
      <c r="B17" s="56">
        <f t="shared" si="8"/>
        <v>10</v>
      </c>
      <c r="C17" s="80" t="s">
        <v>51</v>
      </c>
      <c r="D17" s="58">
        <v>222807.0</v>
      </c>
      <c r="E17" s="56">
        <v>16.0</v>
      </c>
      <c r="F17" s="56">
        <v>20.0</v>
      </c>
      <c r="G17" s="56">
        <v>4.0</v>
      </c>
      <c r="H17" s="59">
        <v>0.25</v>
      </c>
      <c r="I17" s="56">
        <v>18.0</v>
      </c>
      <c r="J17" s="56">
        <v>12.0</v>
      </c>
      <c r="K17" s="56">
        <v>16.0</v>
      </c>
      <c r="L17" s="56">
        <v>4.0</v>
      </c>
      <c r="M17" s="59">
        <v>0.3333333333333333</v>
      </c>
      <c r="N17" s="56">
        <v>14.0</v>
      </c>
      <c r="O17" s="56">
        <v>239.0</v>
      </c>
      <c r="P17" s="56">
        <v>324.0</v>
      </c>
      <c r="Q17" s="56">
        <v>85.0</v>
      </c>
      <c r="R17" s="59">
        <v>0.35564853556485354</v>
      </c>
      <c r="S17" s="60">
        <v>14.541733428482948</v>
      </c>
      <c r="T17" s="56">
        <v>13.0</v>
      </c>
      <c r="U17" s="56">
        <v>2294.0</v>
      </c>
      <c r="V17" s="56">
        <v>1299.0</v>
      </c>
      <c r="W17" s="56">
        <v>-995.0</v>
      </c>
      <c r="X17" s="59">
        <v>-0.4337401918047079</v>
      </c>
      <c r="Y17" s="60">
        <v>58.30157939382515</v>
      </c>
      <c r="Z17" s="56">
        <v>9.0</v>
      </c>
      <c r="AA17" s="82" t="s">
        <v>0</v>
      </c>
      <c r="AB17" s="56" t="s">
        <v>0</v>
      </c>
      <c r="AC17" s="56" t="str">
        <f t="shared" si="7"/>
        <v>+</v>
      </c>
      <c r="AD17" s="56" t="str">
        <f>VLOOKUP(C17,'1_Ранг лучших динамика'!D:R,'1_Ранг лучших динамика'!Q$9,FALSE)</f>
        <v>#N/A</v>
      </c>
    </row>
    <row r="18" ht="16.5" customHeight="1">
      <c r="A18" s="38"/>
      <c r="B18" s="56">
        <f t="shared" si="8"/>
        <v>11</v>
      </c>
      <c r="C18" s="80" t="s">
        <v>67</v>
      </c>
      <c r="D18" s="58">
        <v>148369.0</v>
      </c>
      <c r="E18" s="56">
        <v>28.0</v>
      </c>
      <c r="F18" s="56">
        <v>41.0</v>
      </c>
      <c r="G18" s="56">
        <v>13.0</v>
      </c>
      <c r="H18" s="59">
        <v>0.4642857142857143</v>
      </c>
      <c r="I18" s="56">
        <v>2.0</v>
      </c>
      <c r="J18" s="56">
        <v>6.0</v>
      </c>
      <c r="K18" s="56">
        <v>18.0</v>
      </c>
      <c r="L18" s="56">
        <v>12.0</v>
      </c>
      <c r="M18" s="59">
        <v>2.0</v>
      </c>
      <c r="N18" s="56">
        <v>12.0</v>
      </c>
      <c r="O18" s="56">
        <v>144.0</v>
      </c>
      <c r="P18" s="56">
        <v>219.0</v>
      </c>
      <c r="Q18" s="56">
        <v>75.0</v>
      </c>
      <c r="R18" s="59">
        <v>0.5208333333333334</v>
      </c>
      <c r="S18" s="60">
        <v>14.760495790899716</v>
      </c>
      <c r="T18" s="56">
        <v>12.0</v>
      </c>
      <c r="U18" s="56">
        <v>600.0</v>
      </c>
      <c r="V18" s="56">
        <v>715.0</v>
      </c>
      <c r="W18" s="56">
        <v>115.0</v>
      </c>
      <c r="X18" s="59">
        <v>0.19166666666666668</v>
      </c>
      <c r="Y18" s="60">
        <v>48.190659773941995</v>
      </c>
      <c r="Z18" s="56">
        <v>12.0</v>
      </c>
      <c r="AA18" s="56" t="s">
        <v>0</v>
      </c>
      <c r="AB18" s="56" t="s">
        <v>0</v>
      </c>
      <c r="AC18" s="56" t="str">
        <f t="shared" si="7"/>
        <v>+</v>
      </c>
      <c r="AD18" s="56" t="str">
        <f>VLOOKUP(C18,'1_Ранг лучших динамика'!D:R,'1_Ранг лучших динамика'!Q$9,FALSE)</f>
        <v>#N/A</v>
      </c>
    </row>
    <row r="19" ht="16.5" customHeight="1">
      <c r="A19" s="38"/>
      <c r="B19" s="56">
        <f t="shared" si="8"/>
        <v>12</v>
      </c>
      <c r="C19" s="80" t="s">
        <v>71</v>
      </c>
      <c r="D19" s="58">
        <v>160613.0</v>
      </c>
      <c r="E19" s="56">
        <v>32.0</v>
      </c>
      <c r="F19" s="56">
        <v>28.0</v>
      </c>
      <c r="G19" s="56">
        <v>-4.0</v>
      </c>
      <c r="H19" s="59">
        <v>-0.125</v>
      </c>
      <c r="I19" s="56">
        <v>12.0</v>
      </c>
      <c r="J19" s="56">
        <v>15.0</v>
      </c>
      <c r="K19" s="56">
        <v>6.0</v>
      </c>
      <c r="L19" s="56">
        <v>-9.0</v>
      </c>
      <c r="M19" s="59">
        <v>-0.6</v>
      </c>
      <c r="N19" s="56">
        <v>23.0</v>
      </c>
      <c r="O19" s="56">
        <v>128.0</v>
      </c>
      <c r="P19" s="56">
        <v>242.0</v>
      </c>
      <c r="Q19" s="56">
        <v>114.0</v>
      </c>
      <c r="R19" s="59">
        <v>0.890625</v>
      </c>
      <c r="S19" s="60">
        <v>15.067273508371054</v>
      </c>
      <c r="T19" s="56">
        <v>11.0</v>
      </c>
      <c r="U19" s="56">
        <v>638.0</v>
      </c>
      <c r="V19" s="56">
        <v>688.0</v>
      </c>
      <c r="W19" s="56">
        <v>50.0</v>
      </c>
      <c r="X19" s="59">
        <v>0.07836990595611286</v>
      </c>
      <c r="Y19" s="60">
        <v>42.83588501553423</v>
      </c>
      <c r="Z19" s="56">
        <v>14.0</v>
      </c>
      <c r="AA19" s="56" t="s">
        <v>0</v>
      </c>
      <c r="AB19" s="56" t="s">
        <v>0</v>
      </c>
      <c r="AC19" s="56" t="str">
        <f t="shared" si="7"/>
        <v>+</v>
      </c>
      <c r="AD19" s="56" t="str">
        <f>VLOOKUP(C19,'1_Ранг лучших динамика'!D:R,'1_Ранг лучших динамика'!Q$9,FALSE)</f>
        <v>#N/A</v>
      </c>
    </row>
    <row r="20" ht="16.5" customHeight="1">
      <c r="A20" s="38"/>
      <c r="B20" s="56">
        <f t="shared" si="8"/>
        <v>13</v>
      </c>
      <c r="C20" s="80" t="s">
        <v>75</v>
      </c>
      <c r="D20" s="58">
        <v>60722.0</v>
      </c>
      <c r="E20" s="56">
        <v>4.0</v>
      </c>
      <c r="F20" s="56">
        <v>7.0</v>
      </c>
      <c r="G20" s="56">
        <v>3.0</v>
      </c>
      <c r="H20" s="59">
        <v>0.75</v>
      </c>
      <c r="I20" s="56">
        <v>27.0</v>
      </c>
      <c r="J20" s="56">
        <v>3.0</v>
      </c>
      <c r="K20" s="56">
        <v>2.0</v>
      </c>
      <c r="L20" s="56">
        <v>-1.0</v>
      </c>
      <c r="M20" s="59">
        <v>-0.3333333333333333</v>
      </c>
      <c r="N20" s="56">
        <v>31.0</v>
      </c>
      <c r="O20" s="56">
        <v>83.0</v>
      </c>
      <c r="P20" s="56">
        <v>116.0</v>
      </c>
      <c r="Q20" s="56">
        <v>33.0</v>
      </c>
      <c r="R20" s="59">
        <v>0.39759036144578314</v>
      </c>
      <c r="S20" s="60">
        <v>19.10345509041204</v>
      </c>
      <c r="T20" s="56">
        <v>8.0</v>
      </c>
      <c r="U20" s="56">
        <v>270.0</v>
      </c>
      <c r="V20" s="56">
        <v>194.0</v>
      </c>
      <c r="W20" s="56">
        <v>-76.0</v>
      </c>
      <c r="X20" s="59">
        <v>-0.2814814814814815</v>
      </c>
      <c r="Y20" s="60">
        <v>31.94888178913738</v>
      </c>
      <c r="Z20" s="56">
        <v>24.0</v>
      </c>
      <c r="AA20" s="81" t="s">
        <v>174</v>
      </c>
      <c r="AB20" s="81" t="s">
        <v>174</v>
      </c>
      <c r="AC20" s="56" t="str">
        <f t="shared" si="7"/>
        <v>-</v>
      </c>
      <c r="AD20" s="56" t="str">
        <f>VLOOKUP(C20,'1_Ранг лучших динамика'!D:R,'1_Ранг лучших динамика'!Q$9,FALSE)</f>
        <v>#N/A</v>
      </c>
    </row>
    <row r="21" ht="16.5" customHeight="1">
      <c r="A21" s="38"/>
      <c r="B21" s="56">
        <f t="shared" si="8"/>
        <v>14</v>
      </c>
      <c r="C21" s="80" t="s">
        <v>70</v>
      </c>
      <c r="D21" s="58">
        <v>65122.0</v>
      </c>
      <c r="E21" s="56">
        <v>14.0</v>
      </c>
      <c r="F21" s="56">
        <v>10.0</v>
      </c>
      <c r="G21" s="56">
        <v>-4.0</v>
      </c>
      <c r="H21" s="59">
        <v>-0.2857142857142857</v>
      </c>
      <c r="I21" s="56">
        <v>24.0</v>
      </c>
      <c r="J21" s="56">
        <v>6.0</v>
      </c>
      <c r="K21" s="56">
        <v>4.0</v>
      </c>
      <c r="L21" s="56">
        <v>-2.0</v>
      </c>
      <c r="M21" s="59">
        <v>-0.3333333333333333</v>
      </c>
      <c r="N21" s="56">
        <v>28.0</v>
      </c>
      <c r="O21" s="56">
        <v>45.0</v>
      </c>
      <c r="P21" s="56">
        <v>79.0</v>
      </c>
      <c r="Q21" s="56">
        <v>34.0</v>
      </c>
      <c r="R21" s="59">
        <v>0.7555555555555555</v>
      </c>
      <c r="S21" s="60">
        <v>12.131077055372993</v>
      </c>
      <c r="T21" s="56">
        <v>17.0</v>
      </c>
      <c r="U21" s="56">
        <v>180.0</v>
      </c>
      <c r="V21" s="56">
        <v>241.0</v>
      </c>
      <c r="W21" s="56">
        <v>61.0</v>
      </c>
      <c r="X21" s="59">
        <v>0.3388888888888889</v>
      </c>
      <c r="Y21" s="60">
        <v>37.00746291575812</v>
      </c>
      <c r="Z21" s="56">
        <v>17.0</v>
      </c>
      <c r="AA21" s="56" t="s">
        <v>0</v>
      </c>
      <c r="AB21" s="56" t="s">
        <v>0</v>
      </c>
      <c r="AC21" s="56" t="str">
        <f t="shared" si="7"/>
        <v>+</v>
      </c>
      <c r="AD21" s="56" t="str">
        <f>VLOOKUP(C21,'1_Ранг лучших динамика'!D:R,'1_Ранг лучших динамика'!Q$9,FALSE)</f>
        <v>#N/A</v>
      </c>
    </row>
    <row r="22" ht="16.5" customHeight="1">
      <c r="A22" s="38"/>
      <c r="B22" s="56">
        <f t="shared" si="8"/>
        <v>15</v>
      </c>
      <c r="C22" s="80" t="s">
        <v>63</v>
      </c>
      <c r="D22" s="58">
        <v>209616.0</v>
      </c>
      <c r="E22" s="56">
        <v>14.0</v>
      </c>
      <c r="F22" s="56">
        <v>19.0</v>
      </c>
      <c r="G22" s="56">
        <v>5.0</v>
      </c>
      <c r="H22" s="59">
        <v>0.35714285714285715</v>
      </c>
      <c r="I22" s="56">
        <v>19.0</v>
      </c>
      <c r="J22" s="56">
        <v>2.0</v>
      </c>
      <c r="K22" s="56">
        <v>11.0</v>
      </c>
      <c r="L22" s="56">
        <v>9.0</v>
      </c>
      <c r="M22" s="59">
        <v>4.5</v>
      </c>
      <c r="N22" s="56">
        <v>20.0</v>
      </c>
      <c r="O22" s="56">
        <v>133.0</v>
      </c>
      <c r="P22" s="56">
        <v>253.0</v>
      </c>
      <c r="Q22" s="56">
        <v>120.0</v>
      </c>
      <c r="R22" s="59">
        <v>0.9022556390977443</v>
      </c>
      <c r="S22" s="60">
        <v>12.069689336691855</v>
      </c>
      <c r="T22" s="56">
        <v>19.0</v>
      </c>
      <c r="U22" s="56">
        <v>335.0</v>
      </c>
      <c r="V22" s="56">
        <v>852.0</v>
      </c>
      <c r="W22" s="56">
        <v>517.0</v>
      </c>
      <c r="X22" s="59">
        <v>1.5432835820895523</v>
      </c>
      <c r="Y22" s="60">
        <v>40.645752232654</v>
      </c>
      <c r="Z22" s="56">
        <v>16.0</v>
      </c>
      <c r="AA22" s="56" t="s">
        <v>0</v>
      </c>
      <c r="AB22" s="56" t="s">
        <v>0</v>
      </c>
      <c r="AC22" s="56" t="str">
        <f t="shared" si="7"/>
        <v>+</v>
      </c>
      <c r="AD22" s="56" t="str">
        <f>VLOOKUP(C22,'1_Ранг лучших динамика'!D:R,'1_Ранг лучших динамика'!Q$9,FALSE)</f>
        <v>#N/A</v>
      </c>
    </row>
    <row r="23" ht="36.75" customHeight="1">
      <c r="A23" s="38"/>
      <c r="B23" s="56">
        <f t="shared" si="8"/>
        <v>16</v>
      </c>
      <c r="C23" s="80" t="s">
        <v>57</v>
      </c>
      <c r="D23" s="58">
        <v>36534.0</v>
      </c>
      <c r="E23" s="56">
        <v>7.0</v>
      </c>
      <c r="F23" s="56">
        <v>1.0</v>
      </c>
      <c r="G23" s="56">
        <v>-6.0</v>
      </c>
      <c r="H23" s="59">
        <v>-0.8571428571428571</v>
      </c>
      <c r="I23" s="56">
        <v>38.0</v>
      </c>
      <c r="J23" s="56">
        <v>0.0</v>
      </c>
      <c r="K23" s="56">
        <v>1.0</v>
      </c>
      <c r="L23" s="56">
        <v>1.0</v>
      </c>
      <c r="M23" s="59" t="s">
        <v>41</v>
      </c>
      <c r="N23" s="56">
        <v>36.0</v>
      </c>
      <c r="O23" s="56">
        <v>45.0</v>
      </c>
      <c r="P23" s="56">
        <v>119.0</v>
      </c>
      <c r="Q23" s="56">
        <v>74.0</v>
      </c>
      <c r="R23" s="59">
        <v>1.6444444444444444</v>
      </c>
      <c r="S23" s="60">
        <v>32.572398313899384</v>
      </c>
      <c r="T23" s="56">
        <v>2.0</v>
      </c>
      <c r="U23" s="56">
        <v>89.0</v>
      </c>
      <c r="V23" s="56">
        <v>83.0</v>
      </c>
      <c r="W23" s="56">
        <v>-6.0</v>
      </c>
      <c r="X23" s="59">
        <v>-0.06741573033707865</v>
      </c>
      <c r="Y23" s="60">
        <v>22.718563529862593</v>
      </c>
      <c r="Z23" s="56">
        <v>33.0</v>
      </c>
      <c r="AA23" s="81" t="s">
        <v>174</v>
      </c>
      <c r="AB23" s="81" t="s">
        <v>174</v>
      </c>
      <c r="AC23" s="56" t="str">
        <f t="shared" si="7"/>
        <v>-</v>
      </c>
      <c r="AD23" s="56" t="str">
        <f>VLOOKUP(C23,'1_Ранг лучших динамика'!D:R,'1_Ранг лучших динамика'!Q$9,FALSE)</f>
        <v>#N/A</v>
      </c>
    </row>
    <row r="24" ht="16.5" customHeight="1">
      <c r="A24" s="38"/>
      <c r="B24" s="56">
        <f t="shared" si="8"/>
        <v>17</v>
      </c>
      <c r="C24" s="80" t="s">
        <v>66</v>
      </c>
      <c r="D24" s="58">
        <v>81968.0</v>
      </c>
      <c r="E24" s="56">
        <v>1.0</v>
      </c>
      <c r="F24" s="56">
        <v>7.0</v>
      </c>
      <c r="G24" s="56">
        <v>6.0</v>
      </c>
      <c r="H24" s="59">
        <v>6.0</v>
      </c>
      <c r="I24" s="56">
        <v>27.0</v>
      </c>
      <c r="J24" s="56">
        <v>4.0</v>
      </c>
      <c r="K24" s="56">
        <v>89.0</v>
      </c>
      <c r="L24" s="56">
        <v>85.0</v>
      </c>
      <c r="M24" s="59">
        <v>21.25</v>
      </c>
      <c r="N24" s="56">
        <v>1.0</v>
      </c>
      <c r="O24" s="56">
        <v>18.0</v>
      </c>
      <c r="P24" s="56">
        <v>99.0</v>
      </c>
      <c r="Q24" s="56">
        <v>81.0</v>
      </c>
      <c r="R24" s="59">
        <v>4.5</v>
      </c>
      <c r="S24" s="60">
        <v>12.077884052313097</v>
      </c>
      <c r="T24" s="56">
        <v>18.0</v>
      </c>
      <c r="U24" s="56">
        <v>306.0</v>
      </c>
      <c r="V24" s="56">
        <v>278.0</v>
      </c>
      <c r="W24" s="56">
        <v>-28.0</v>
      </c>
      <c r="X24" s="59">
        <v>-0.0915032679738562</v>
      </c>
      <c r="Y24" s="60">
        <v>33.91567440952567</v>
      </c>
      <c r="Z24" s="56">
        <v>21.0</v>
      </c>
      <c r="AA24" s="56" t="s">
        <v>175</v>
      </c>
      <c r="AB24" s="56" t="s">
        <v>0</v>
      </c>
      <c r="AC24" s="56" t="str">
        <f t="shared" si="7"/>
        <v>+</v>
      </c>
      <c r="AD24" s="56" t="str">
        <f>VLOOKUP(C24,'1_Ранг лучших динамика'!D:R,'1_Ранг лучших динамика'!Q$9,FALSE)</f>
        <v>#N/A</v>
      </c>
    </row>
    <row r="25" ht="16.5" customHeight="1">
      <c r="A25" s="38"/>
      <c r="B25" s="56">
        <f t="shared" si="8"/>
        <v>18</v>
      </c>
      <c r="C25" s="80" t="s">
        <v>44</v>
      </c>
      <c r="D25" s="58">
        <v>218485.0</v>
      </c>
      <c r="E25" s="56">
        <v>1.0</v>
      </c>
      <c r="F25" s="56">
        <v>5.0</v>
      </c>
      <c r="G25" s="56">
        <v>4.0</v>
      </c>
      <c r="H25" s="59">
        <v>4.0</v>
      </c>
      <c r="I25" s="56">
        <v>33.0</v>
      </c>
      <c r="J25" s="56">
        <v>10.0</v>
      </c>
      <c r="K25" s="56">
        <v>8.0</v>
      </c>
      <c r="L25" s="56">
        <v>-2.0</v>
      </c>
      <c r="M25" s="59">
        <v>-0.2</v>
      </c>
      <c r="N25" s="56">
        <v>21.0</v>
      </c>
      <c r="O25" s="56">
        <v>201.0</v>
      </c>
      <c r="P25" s="56">
        <v>262.0</v>
      </c>
      <c r="Q25" s="56">
        <v>61.0</v>
      </c>
      <c r="R25" s="59">
        <v>0.3034825870646766</v>
      </c>
      <c r="S25" s="60">
        <v>11.991669908689383</v>
      </c>
      <c r="T25" s="56">
        <v>20.0</v>
      </c>
      <c r="U25" s="56">
        <v>783.0</v>
      </c>
      <c r="V25" s="56">
        <v>787.0</v>
      </c>
      <c r="W25" s="56">
        <v>4.0</v>
      </c>
      <c r="X25" s="59">
        <v>0.005108556832694764</v>
      </c>
      <c r="Y25" s="60">
        <v>36.02077945854406</v>
      </c>
      <c r="Z25" s="56">
        <v>20.0</v>
      </c>
      <c r="AA25" s="56" t="s">
        <v>0</v>
      </c>
      <c r="AB25" s="56" t="s">
        <v>0</v>
      </c>
      <c r="AC25" s="56" t="str">
        <f t="shared" si="7"/>
        <v>+</v>
      </c>
      <c r="AD25" s="56" t="str">
        <f>VLOOKUP(C25,'1_Ранг лучших динамика'!D:R,'1_Ранг лучших динамика'!Q$9,FALSE)</f>
        <v>#N/A</v>
      </c>
    </row>
    <row r="26" ht="16.5" customHeight="1">
      <c r="A26" s="38"/>
      <c r="B26" s="56">
        <f t="shared" si="8"/>
        <v>19</v>
      </c>
      <c r="C26" s="80" t="s">
        <v>52</v>
      </c>
      <c r="D26" s="58">
        <v>350268.0</v>
      </c>
      <c r="E26" s="56">
        <v>27.0</v>
      </c>
      <c r="F26" s="56">
        <v>22.0</v>
      </c>
      <c r="G26" s="56">
        <v>-5.0</v>
      </c>
      <c r="H26" s="59">
        <v>-0.18518518518518517</v>
      </c>
      <c r="I26" s="56">
        <v>16.0</v>
      </c>
      <c r="J26" s="56">
        <v>12.0</v>
      </c>
      <c r="K26" s="56">
        <v>19.0</v>
      </c>
      <c r="L26" s="56">
        <v>7.0</v>
      </c>
      <c r="M26" s="59">
        <v>0.5833333333333334</v>
      </c>
      <c r="N26" s="56">
        <v>10.0</v>
      </c>
      <c r="O26" s="56">
        <v>481.0</v>
      </c>
      <c r="P26" s="56">
        <v>460.0</v>
      </c>
      <c r="Q26" s="56">
        <v>-21.0</v>
      </c>
      <c r="R26" s="59">
        <v>-0.04365904365904366</v>
      </c>
      <c r="S26" s="60">
        <v>13.132801169390296</v>
      </c>
      <c r="T26" s="56">
        <v>15.0</v>
      </c>
      <c r="U26" s="56">
        <v>1824.0</v>
      </c>
      <c r="V26" s="56">
        <v>907.0</v>
      </c>
      <c r="W26" s="56">
        <v>-917.0</v>
      </c>
      <c r="X26" s="59">
        <v>-0.5027412280701754</v>
      </c>
      <c r="Y26" s="60">
        <v>25.894457957906518</v>
      </c>
      <c r="Z26" s="56">
        <v>26.0</v>
      </c>
      <c r="AA26" s="56" t="s">
        <v>0</v>
      </c>
      <c r="AB26" s="56" t="s">
        <v>0</v>
      </c>
      <c r="AC26" s="56" t="str">
        <f t="shared" si="7"/>
        <v>+</v>
      </c>
      <c r="AD26" s="56" t="str">
        <f>VLOOKUP(C26,'1_Ранг лучших динамика'!D:R,'1_Ранг лучших динамика'!Q$9,FALSE)</f>
        <v>#N/A</v>
      </c>
    </row>
    <row r="27" ht="16.5" customHeight="1">
      <c r="A27" s="38"/>
      <c r="B27" s="56">
        <f t="shared" si="8"/>
        <v>20</v>
      </c>
      <c r="C27" s="80" t="s">
        <v>58</v>
      </c>
      <c r="D27" s="58">
        <v>480869.0</v>
      </c>
      <c r="E27" s="56">
        <v>30.0</v>
      </c>
      <c r="F27" s="56">
        <v>29.0</v>
      </c>
      <c r="G27" s="56">
        <v>-1.0</v>
      </c>
      <c r="H27" s="59">
        <v>-0.03333333333333333</v>
      </c>
      <c r="I27" s="56">
        <v>8.0</v>
      </c>
      <c r="J27" s="56">
        <v>33.0</v>
      </c>
      <c r="K27" s="56">
        <v>6.0</v>
      </c>
      <c r="L27" s="56">
        <v>-27.0</v>
      </c>
      <c r="M27" s="59">
        <v>-0.8181818181818182</v>
      </c>
      <c r="N27" s="56">
        <v>23.0</v>
      </c>
      <c r="O27" s="56">
        <v>536.0</v>
      </c>
      <c r="P27" s="56">
        <v>601.0</v>
      </c>
      <c r="Q27" s="56">
        <v>65.0</v>
      </c>
      <c r="R27" s="59">
        <v>0.12126865671641791</v>
      </c>
      <c r="S27" s="60">
        <v>12.498206372213637</v>
      </c>
      <c r="T27" s="56">
        <v>16.0</v>
      </c>
      <c r="U27" s="56">
        <v>1273.0</v>
      </c>
      <c r="V27" s="56">
        <v>1376.0</v>
      </c>
      <c r="W27" s="56">
        <v>103.0</v>
      </c>
      <c r="X27" s="59">
        <v>0.08091123330714847</v>
      </c>
      <c r="Y27" s="60">
        <v>28.61486184387016</v>
      </c>
      <c r="Z27" s="56">
        <v>25.0</v>
      </c>
      <c r="AA27" s="56" t="s">
        <v>0</v>
      </c>
      <c r="AB27" s="56" t="s">
        <v>0</v>
      </c>
      <c r="AC27" s="56" t="str">
        <f t="shared" si="7"/>
        <v>+</v>
      </c>
      <c r="AD27" s="56" t="str">
        <f>VLOOKUP(C27,'1_Ранг лучших динамика'!D:R,'1_Ранг лучших динамика'!Q$9,FALSE)</f>
        <v>#N/A</v>
      </c>
    </row>
    <row r="28" ht="16.5" customHeight="1">
      <c r="A28" s="38"/>
      <c r="B28" s="56">
        <f t="shared" si="8"/>
        <v>21</v>
      </c>
      <c r="C28" s="80" t="s">
        <v>48</v>
      </c>
      <c r="D28" s="58">
        <v>121788.0</v>
      </c>
      <c r="E28" s="56">
        <v>4.0</v>
      </c>
      <c r="F28" s="56">
        <v>1.0</v>
      </c>
      <c r="G28" s="56">
        <v>-3.0</v>
      </c>
      <c r="H28" s="59">
        <v>-0.75</v>
      </c>
      <c r="I28" s="56">
        <v>38.0</v>
      </c>
      <c r="J28" s="56">
        <v>33.0</v>
      </c>
      <c r="K28" s="56">
        <v>12.0</v>
      </c>
      <c r="L28" s="56">
        <v>-21.0</v>
      </c>
      <c r="M28" s="59">
        <v>-0.6363636363636364</v>
      </c>
      <c r="N28" s="56">
        <v>17.0</v>
      </c>
      <c r="O28" s="56">
        <v>90.0</v>
      </c>
      <c r="P28" s="56">
        <v>108.0</v>
      </c>
      <c r="Q28" s="56">
        <v>18.0</v>
      </c>
      <c r="R28" s="59">
        <v>0.2</v>
      </c>
      <c r="S28" s="60">
        <v>8.867868755542418</v>
      </c>
      <c r="T28" s="56">
        <v>28.0</v>
      </c>
      <c r="U28" s="56">
        <v>756.0</v>
      </c>
      <c r="V28" s="56">
        <v>573.0</v>
      </c>
      <c r="W28" s="56">
        <v>-183.0</v>
      </c>
      <c r="X28" s="59">
        <v>-0.24206349206349206</v>
      </c>
      <c r="Y28" s="60">
        <v>47.04897034190561</v>
      </c>
      <c r="Z28" s="56">
        <v>13.0</v>
      </c>
      <c r="AA28" s="56" t="s">
        <v>0</v>
      </c>
      <c r="AB28" s="56" t="s">
        <v>0</v>
      </c>
      <c r="AC28" s="56" t="str">
        <f t="shared" si="7"/>
        <v>+</v>
      </c>
      <c r="AD28" s="56" t="str">
        <f>VLOOKUP(C28,'1_Ранг лучших динамика'!D:R,'1_Ранг лучших динамика'!Q$9,FALSE)</f>
        <v>#N/A</v>
      </c>
    </row>
    <row r="29" ht="16.5" customHeight="1">
      <c r="A29" s="38"/>
      <c r="B29" s="56">
        <f t="shared" si="8"/>
        <v>22</v>
      </c>
      <c r="C29" s="80" t="s">
        <v>92</v>
      </c>
      <c r="D29" s="58">
        <v>23475.0</v>
      </c>
      <c r="E29" s="56">
        <v>1.0</v>
      </c>
      <c r="F29" s="56">
        <v>1.0</v>
      </c>
      <c r="G29" s="56">
        <v>0.0</v>
      </c>
      <c r="H29" s="59">
        <v>0.0</v>
      </c>
      <c r="I29" s="56">
        <v>38.0</v>
      </c>
      <c r="J29" s="56">
        <v>6.0</v>
      </c>
      <c r="K29" s="56">
        <v>3.0</v>
      </c>
      <c r="L29" s="56">
        <v>-3.0</v>
      </c>
      <c r="M29" s="59">
        <v>-0.5</v>
      </c>
      <c r="N29" s="56">
        <v>30.0</v>
      </c>
      <c r="O29" s="56">
        <v>3.0</v>
      </c>
      <c r="P29" s="56">
        <v>15.0</v>
      </c>
      <c r="Q29" s="56">
        <v>12.0</v>
      </c>
      <c r="R29" s="59">
        <v>4.0</v>
      </c>
      <c r="S29" s="60">
        <v>6.389776357827476</v>
      </c>
      <c r="T29" s="56">
        <v>38.0</v>
      </c>
      <c r="U29" s="56">
        <v>91.0</v>
      </c>
      <c r="V29" s="56">
        <v>263.0</v>
      </c>
      <c r="W29" s="56">
        <v>172.0</v>
      </c>
      <c r="X29" s="59">
        <v>1.89010989010989</v>
      </c>
      <c r="Y29" s="60">
        <v>112.03407880724174</v>
      </c>
      <c r="Z29" s="56">
        <v>4.0</v>
      </c>
      <c r="AA29" s="56" t="s">
        <v>176</v>
      </c>
      <c r="AB29" s="56" t="s">
        <v>0</v>
      </c>
      <c r="AC29" s="56" t="str">
        <f t="shared" si="7"/>
        <v>+</v>
      </c>
      <c r="AD29" s="56">
        <f>VLOOKUP(C29,'1_Ранг лучших динамика'!D:R,'1_Ранг лучших динамика'!Q$9,FALSE)</f>
        <v>52</v>
      </c>
    </row>
    <row r="30" ht="16.5" customHeight="1">
      <c r="A30" s="38"/>
      <c r="B30" s="56">
        <f t="shared" si="8"/>
        <v>23</v>
      </c>
      <c r="C30" s="80" t="s">
        <v>79</v>
      </c>
      <c r="D30" s="58">
        <v>300650.0</v>
      </c>
      <c r="E30" s="56">
        <v>25.0</v>
      </c>
      <c r="F30" s="56">
        <v>29.0</v>
      </c>
      <c r="G30" s="56">
        <v>4.0</v>
      </c>
      <c r="H30" s="59">
        <v>0.16</v>
      </c>
      <c r="I30" s="56">
        <v>8.0</v>
      </c>
      <c r="J30" s="56">
        <v>57.0</v>
      </c>
      <c r="K30" s="56">
        <v>4.0</v>
      </c>
      <c r="L30" s="56">
        <v>-53.0</v>
      </c>
      <c r="M30" s="59">
        <v>-0.9298245614035088</v>
      </c>
      <c r="N30" s="56">
        <v>28.0</v>
      </c>
      <c r="O30" s="56">
        <v>318.0</v>
      </c>
      <c r="P30" s="56">
        <v>358.0</v>
      </c>
      <c r="Q30" s="56">
        <v>40.0</v>
      </c>
      <c r="R30" s="59">
        <v>0.12578616352201258</v>
      </c>
      <c r="S30" s="60">
        <v>11.907533677033095</v>
      </c>
      <c r="T30" s="56">
        <v>21.0</v>
      </c>
      <c r="U30" s="56">
        <v>1284.0</v>
      </c>
      <c r="V30" s="56">
        <v>988.0</v>
      </c>
      <c r="W30" s="56">
        <v>-296.0</v>
      </c>
      <c r="X30" s="59">
        <v>-0.23052959501557632</v>
      </c>
      <c r="Y30" s="60">
        <v>32.862132047231</v>
      </c>
      <c r="Z30" s="56">
        <v>22.0</v>
      </c>
      <c r="AA30" s="56" t="s">
        <v>0</v>
      </c>
      <c r="AB30" s="56" t="s">
        <v>0</v>
      </c>
      <c r="AC30" s="56" t="str">
        <f t="shared" si="7"/>
        <v>+</v>
      </c>
      <c r="AD30" s="56" t="str">
        <f>VLOOKUP(C30,'1_Ранг лучших динамика'!D:R,'1_Ранг лучших динамика'!Q$9,FALSE)</f>
        <v>#N/A</v>
      </c>
    </row>
    <row r="31" ht="16.5" customHeight="1">
      <c r="A31" s="38"/>
      <c r="B31" s="56">
        <f t="shared" si="8"/>
        <v>24</v>
      </c>
      <c r="C31" s="80" t="s">
        <v>68</v>
      </c>
      <c r="D31" s="58">
        <v>64223.0</v>
      </c>
      <c r="E31" s="56">
        <v>2.0</v>
      </c>
      <c r="F31" s="56">
        <v>9.0</v>
      </c>
      <c r="G31" s="56">
        <v>7.0</v>
      </c>
      <c r="H31" s="59">
        <v>3.5</v>
      </c>
      <c r="I31" s="56">
        <v>25.0</v>
      </c>
      <c r="J31" s="56">
        <v>1.0</v>
      </c>
      <c r="K31" s="56">
        <v>12.0</v>
      </c>
      <c r="L31" s="56">
        <v>11.0</v>
      </c>
      <c r="M31" s="59">
        <v>11.0</v>
      </c>
      <c r="N31" s="56">
        <v>17.0</v>
      </c>
      <c r="O31" s="56">
        <v>19.0</v>
      </c>
      <c r="P31" s="56">
        <v>66.0</v>
      </c>
      <c r="Q31" s="56">
        <v>47.0</v>
      </c>
      <c r="R31" s="59">
        <v>2.473684210526316</v>
      </c>
      <c r="S31" s="60">
        <v>10.2766921507871</v>
      </c>
      <c r="T31" s="56">
        <v>24.0</v>
      </c>
      <c r="U31" s="56">
        <v>217.0</v>
      </c>
      <c r="V31" s="56">
        <v>232.0</v>
      </c>
      <c r="W31" s="56">
        <v>15.0</v>
      </c>
      <c r="X31" s="59">
        <v>0.06912442396313365</v>
      </c>
      <c r="Y31" s="60">
        <v>36.12412998458496</v>
      </c>
      <c r="Z31" s="56">
        <v>19.0</v>
      </c>
      <c r="AA31" s="56" t="s">
        <v>176</v>
      </c>
      <c r="AB31" s="56" t="s">
        <v>176</v>
      </c>
      <c r="AC31" s="56" t="str">
        <f t="shared" si="7"/>
        <v>-</v>
      </c>
      <c r="AD31" s="56" t="str">
        <f>VLOOKUP(C31,'1_Ранг лучших динамика'!D:R,'1_Ранг лучших динамика'!Q$9,FALSE)</f>
        <v>#N/A</v>
      </c>
    </row>
    <row r="32" ht="16.5" customHeight="1">
      <c r="A32" s="38"/>
      <c r="B32" s="56">
        <f t="shared" si="8"/>
        <v>25</v>
      </c>
      <c r="C32" s="80" t="s">
        <v>59</v>
      </c>
      <c r="D32" s="58">
        <v>324754.0</v>
      </c>
      <c r="E32" s="56">
        <v>5.0</v>
      </c>
      <c r="F32" s="56">
        <v>6.0</v>
      </c>
      <c r="G32" s="56">
        <v>1.0</v>
      </c>
      <c r="H32" s="59">
        <v>0.2</v>
      </c>
      <c r="I32" s="56">
        <v>29.0</v>
      </c>
      <c r="J32" s="56">
        <v>44.0</v>
      </c>
      <c r="K32" s="56">
        <v>12.0</v>
      </c>
      <c r="L32" s="56">
        <v>-32.0</v>
      </c>
      <c r="M32" s="59">
        <v>-0.7272727272727273</v>
      </c>
      <c r="N32" s="56">
        <v>17.0</v>
      </c>
      <c r="O32" s="56">
        <v>229.0</v>
      </c>
      <c r="P32" s="56">
        <v>275.0</v>
      </c>
      <c r="Q32" s="56">
        <v>46.0</v>
      </c>
      <c r="R32" s="59">
        <v>0.20087336244541484</v>
      </c>
      <c r="S32" s="60">
        <v>8.467948046829292</v>
      </c>
      <c r="T32" s="56">
        <v>31.0</v>
      </c>
      <c r="U32" s="56">
        <v>871.0</v>
      </c>
      <c r="V32" s="56">
        <v>1174.0</v>
      </c>
      <c r="W32" s="56">
        <v>303.0</v>
      </c>
      <c r="X32" s="59">
        <v>0.3478760045924225</v>
      </c>
      <c r="Y32" s="60">
        <v>36.15044002537305</v>
      </c>
      <c r="Z32" s="56">
        <v>18.0</v>
      </c>
      <c r="AA32" s="56" t="s">
        <v>176</v>
      </c>
      <c r="AB32" s="56" t="s">
        <v>0</v>
      </c>
      <c r="AC32" s="56" t="str">
        <f t="shared" si="7"/>
        <v>+</v>
      </c>
      <c r="AD32" s="56" t="str">
        <f>VLOOKUP(C32,'1_Ранг лучших динамика'!D:R,'1_Ранг лучших динамика'!Q$9,FALSE)</f>
        <v>#N/A</v>
      </c>
    </row>
    <row r="33" ht="16.5" customHeight="1">
      <c r="A33" s="38"/>
      <c r="B33" s="56">
        <f t="shared" si="8"/>
        <v>26</v>
      </c>
      <c r="C33" s="80" t="s">
        <v>91</v>
      </c>
      <c r="D33" s="58">
        <v>21919.0</v>
      </c>
      <c r="E33" s="56">
        <v>13.0</v>
      </c>
      <c r="F33" s="56">
        <v>4.0</v>
      </c>
      <c r="G33" s="56">
        <v>-9.0</v>
      </c>
      <c r="H33" s="59">
        <v>-0.6923076923076923</v>
      </c>
      <c r="I33" s="56">
        <v>34.0</v>
      </c>
      <c r="J33" s="56">
        <v>1.0</v>
      </c>
      <c r="K33" s="56">
        <v>0.0</v>
      </c>
      <c r="L33" s="56">
        <v>-1.0</v>
      </c>
      <c r="M33" s="59">
        <v>-1.0</v>
      </c>
      <c r="N33" s="56">
        <v>38.0</v>
      </c>
      <c r="O33" s="56">
        <v>15.0</v>
      </c>
      <c r="P33" s="56">
        <v>23.0</v>
      </c>
      <c r="Q33" s="56">
        <v>8.0</v>
      </c>
      <c r="R33" s="59">
        <v>0.5333333333333333</v>
      </c>
      <c r="S33" s="60">
        <v>10.49317943336831</v>
      </c>
      <c r="T33" s="56">
        <v>23.0</v>
      </c>
      <c r="U33" s="56">
        <v>46.0</v>
      </c>
      <c r="V33" s="56">
        <v>52.0</v>
      </c>
      <c r="W33" s="56">
        <v>6.0</v>
      </c>
      <c r="X33" s="59">
        <v>0.13043478260869565</v>
      </c>
      <c r="Y33" s="60">
        <v>23.723710023267486</v>
      </c>
      <c r="Z33" s="56">
        <v>29.0</v>
      </c>
      <c r="AA33" s="56" t="s">
        <v>176</v>
      </c>
      <c r="AB33" s="56" t="s">
        <v>176</v>
      </c>
      <c r="AC33" s="56" t="str">
        <f t="shared" si="7"/>
        <v>-</v>
      </c>
      <c r="AD33" s="56" t="str">
        <f>VLOOKUP(C33,'1_Ранг лучших динамика'!D:R,'1_Ранг лучших динамика'!Q$9,FALSE)</f>
        <v>#N/A</v>
      </c>
    </row>
    <row r="34" ht="16.5" customHeight="1">
      <c r="A34" s="38"/>
      <c r="B34" s="56">
        <f t="shared" si="8"/>
        <v>27</v>
      </c>
      <c r="C34" s="80" t="s">
        <v>72</v>
      </c>
      <c r="D34" s="58">
        <v>111398.0</v>
      </c>
      <c r="E34" s="56">
        <v>15.0</v>
      </c>
      <c r="F34" s="56">
        <v>9.0</v>
      </c>
      <c r="G34" s="56">
        <v>-6.0</v>
      </c>
      <c r="H34" s="59">
        <v>-0.4</v>
      </c>
      <c r="I34" s="56">
        <v>25.0</v>
      </c>
      <c r="J34" s="56">
        <v>6.0</v>
      </c>
      <c r="K34" s="56">
        <v>0.0</v>
      </c>
      <c r="L34" s="56">
        <v>-6.0</v>
      </c>
      <c r="M34" s="59">
        <v>-1.0</v>
      </c>
      <c r="N34" s="56">
        <v>38.0</v>
      </c>
      <c r="O34" s="56">
        <v>102.0</v>
      </c>
      <c r="P34" s="56">
        <v>101.0</v>
      </c>
      <c r="Q34" s="56">
        <v>-1.0</v>
      </c>
      <c r="R34" s="59">
        <v>-0.00980392156862745</v>
      </c>
      <c r="S34" s="60">
        <v>9.066590064453582</v>
      </c>
      <c r="T34" s="56">
        <v>26.0</v>
      </c>
      <c r="U34" s="56">
        <v>494.0</v>
      </c>
      <c r="V34" s="56">
        <v>274.0</v>
      </c>
      <c r="W34" s="56">
        <v>-220.0</v>
      </c>
      <c r="X34" s="59">
        <v>-0.44534412955465585</v>
      </c>
      <c r="Y34" s="60">
        <v>24.596491858022585</v>
      </c>
      <c r="Z34" s="56">
        <v>28.0</v>
      </c>
      <c r="AA34" s="56" t="s">
        <v>0</v>
      </c>
      <c r="AB34" s="56" t="s">
        <v>0</v>
      </c>
      <c r="AC34" s="56" t="str">
        <f t="shared" si="7"/>
        <v>+</v>
      </c>
      <c r="AD34" s="56" t="str">
        <f>VLOOKUP(C34,'1_Ранг лучших динамика'!D:R,'1_Ранг лучших динамика'!Q$9,FALSE)</f>
        <v>#N/A</v>
      </c>
    </row>
    <row r="35" ht="16.5" customHeight="1">
      <c r="A35" s="38"/>
      <c r="B35" s="56">
        <f t="shared" si="8"/>
        <v>28</v>
      </c>
      <c r="C35" s="80" t="s">
        <v>85</v>
      </c>
      <c r="D35" s="58">
        <v>21294.0</v>
      </c>
      <c r="E35" s="56">
        <v>0.0</v>
      </c>
      <c r="F35" s="56">
        <v>0.0</v>
      </c>
      <c r="G35" s="56">
        <v>0.0</v>
      </c>
      <c r="H35" s="59" t="s">
        <v>41</v>
      </c>
      <c r="I35" s="56">
        <v>47.0</v>
      </c>
      <c r="J35" s="56">
        <v>0.0</v>
      </c>
      <c r="K35" s="56">
        <v>0.0</v>
      </c>
      <c r="L35" s="56">
        <v>0.0</v>
      </c>
      <c r="M35" s="59" t="s">
        <v>41</v>
      </c>
      <c r="N35" s="56">
        <v>38.0</v>
      </c>
      <c r="O35" s="56">
        <v>15.0</v>
      </c>
      <c r="P35" s="56">
        <v>10.0</v>
      </c>
      <c r="Q35" s="56">
        <v>-5.0</v>
      </c>
      <c r="R35" s="59">
        <v>-0.3333333333333333</v>
      </c>
      <c r="S35" s="60">
        <v>4.696158542312388</v>
      </c>
      <c r="T35" s="56">
        <v>43.0</v>
      </c>
      <c r="U35" s="56">
        <v>204.0</v>
      </c>
      <c r="V35" s="56">
        <v>88.0</v>
      </c>
      <c r="W35" s="56">
        <v>-116.0</v>
      </c>
      <c r="X35" s="59">
        <v>-0.5686274509803921</v>
      </c>
      <c r="Y35" s="60">
        <v>41.32619517234902</v>
      </c>
      <c r="Z35" s="56">
        <v>15.0</v>
      </c>
      <c r="AA35" s="56" t="s">
        <v>176</v>
      </c>
      <c r="AB35" s="56" t="s">
        <v>176</v>
      </c>
      <c r="AC35" s="56" t="str">
        <f t="shared" si="7"/>
        <v>-</v>
      </c>
      <c r="AD35" s="56" t="str">
        <f>VLOOKUP(C35,'1_Ранг лучших динамика'!D:R,'1_Ранг лучших динамика'!Q$9,FALSE)</f>
        <v>#N/A</v>
      </c>
    </row>
    <row r="36" ht="16.5" customHeight="1">
      <c r="A36" s="38"/>
      <c r="B36" s="56">
        <f t="shared" si="8"/>
        <v>29</v>
      </c>
      <c r="C36" s="80" t="s">
        <v>76</v>
      </c>
      <c r="D36" s="58">
        <v>92519.0</v>
      </c>
      <c r="E36" s="56">
        <v>17.0</v>
      </c>
      <c r="F36" s="56">
        <v>13.0</v>
      </c>
      <c r="G36" s="56">
        <v>-4.0</v>
      </c>
      <c r="H36" s="59">
        <v>-0.23529411764705882</v>
      </c>
      <c r="I36" s="56">
        <v>21.0</v>
      </c>
      <c r="J36" s="56">
        <v>1.0</v>
      </c>
      <c r="K36" s="56">
        <v>2.0</v>
      </c>
      <c r="L36" s="56">
        <v>1.0</v>
      </c>
      <c r="M36" s="59">
        <v>1.0</v>
      </c>
      <c r="N36" s="56">
        <v>31.0</v>
      </c>
      <c r="O36" s="56">
        <v>42.0</v>
      </c>
      <c r="P36" s="56">
        <v>81.0</v>
      </c>
      <c r="Q36" s="56">
        <v>39.0</v>
      </c>
      <c r="R36" s="59">
        <v>0.9285714285714286</v>
      </c>
      <c r="S36" s="60">
        <v>8.754958440968881</v>
      </c>
      <c r="T36" s="56">
        <v>29.0</v>
      </c>
      <c r="U36" s="56">
        <v>245.0</v>
      </c>
      <c r="V36" s="56">
        <v>208.0</v>
      </c>
      <c r="W36" s="56">
        <v>-37.0</v>
      </c>
      <c r="X36" s="59">
        <v>-0.1510204081632653</v>
      </c>
      <c r="Y36" s="60">
        <v>22.48186858915466</v>
      </c>
      <c r="Z36" s="56">
        <v>34.0</v>
      </c>
      <c r="AA36" s="56" t="s">
        <v>0</v>
      </c>
      <c r="AB36" s="56"/>
      <c r="AC36" s="56" t="str">
        <f t="shared" si="7"/>
        <v>+</v>
      </c>
      <c r="AD36" s="56" t="str">
        <f>VLOOKUP(C36,'1_Ранг лучших динамика'!D:R,'1_Ранг лучших динамика'!Q$9,FALSE)</f>
        <v>#N/A</v>
      </c>
    </row>
    <row r="37" ht="16.5" customHeight="1">
      <c r="A37" s="38"/>
      <c r="B37" s="56">
        <f t="shared" si="8"/>
        <v>30</v>
      </c>
      <c r="C37" s="80" t="s">
        <v>83</v>
      </c>
      <c r="D37" s="58">
        <v>21789.0</v>
      </c>
      <c r="E37" s="56">
        <v>1.0</v>
      </c>
      <c r="F37" s="56">
        <v>2.0</v>
      </c>
      <c r="G37" s="56">
        <v>1.0</v>
      </c>
      <c r="H37" s="59">
        <v>1.0</v>
      </c>
      <c r="I37" s="56">
        <v>37.0</v>
      </c>
      <c r="J37" s="56">
        <v>1.0</v>
      </c>
      <c r="K37" s="56">
        <v>0.0</v>
      </c>
      <c r="L37" s="56">
        <v>-1.0</v>
      </c>
      <c r="M37" s="59">
        <v>-1.0</v>
      </c>
      <c r="N37" s="56">
        <v>38.0</v>
      </c>
      <c r="O37" s="56">
        <v>8.0</v>
      </c>
      <c r="P37" s="56">
        <v>13.0</v>
      </c>
      <c r="Q37" s="56">
        <v>5.0</v>
      </c>
      <c r="R37" s="59">
        <v>0.625</v>
      </c>
      <c r="S37" s="60">
        <v>5.9663132773417775</v>
      </c>
      <c r="T37" s="56">
        <v>40.0</v>
      </c>
      <c r="U37" s="56">
        <v>30.0</v>
      </c>
      <c r="V37" s="56">
        <v>70.0</v>
      </c>
      <c r="W37" s="56">
        <v>40.0</v>
      </c>
      <c r="X37" s="59">
        <v>1.3333333333333333</v>
      </c>
      <c r="Y37" s="60">
        <v>32.12630226260957</v>
      </c>
      <c r="Z37" s="56">
        <v>23.0</v>
      </c>
      <c r="AA37" s="56" t="s">
        <v>176</v>
      </c>
      <c r="AB37" s="56" t="s">
        <v>176</v>
      </c>
      <c r="AC37" s="56" t="str">
        <f t="shared" si="7"/>
        <v>-</v>
      </c>
      <c r="AD37" s="56" t="str">
        <f>VLOOKUP(C37,'1_Ранг лучших динамика'!D:R,'1_Ранг лучших динамика'!Q$9,FALSE)</f>
        <v>#N/A</v>
      </c>
    </row>
    <row r="38" ht="16.5" customHeight="1">
      <c r="A38" s="38"/>
      <c r="B38" s="56">
        <f t="shared" si="8"/>
        <v>31</v>
      </c>
      <c r="C38" s="80" t="s">
        <v>77</v>
      </c>
      <c r="D38" s="58">
        <v>299964.0</v>
      </c>
      <c r="E38" s="56">
        <v>20.0</v>
      </c>
      <c r="F38" s="56">
        <v>23.0</v>
      </c>
      <c r="G38" s="56">
        <v>3.0</v>
      </c>
      <c r="H38" s="59">
        <v>0.15</v>
      </c>
      <c r="I38" s="56">
        <v>14.0</v>
      </c>
      <c r="J38" s="56">
        <v>12.0</v>
      </c>
      <c r="K38" s="56">
        <v>26.0</v>
      </c>
      <c r="L38" s="56">
        <v>14.0</v>
      </c>
      <c r="M38" s="59">
        <v>1.1666666666666667</v>
      </c>
      <c r="N38" s="56">
        <v>7.0</v>
      </c>
      <c r="O38" s="56">
        <v>226.0</v>
      </c>
      <c r="P38" s="56">
        <v>252.0</v>
      </c>
      <c r="Q38" s="56">
        <v>26.0</v>
      </c>
      <c r="R38" s="59">
        <v>0.11504424778761062</v>
      </c>
      <c r="S38" s="60">
        <v>8.401008120974517</v>
      </c>
      <c r="T38" s="56">
        <v>32.0</v>
      </c>
      <c r="U38" s="56">
        <v>858.0</v>
      </c>
      <c r="V38" s="56">
        <v>687.0</v>
      </c>
      <c r="W38" s="56">
        <v>-171.0</v>
      </c>
      <c r="X38" s="59">
        <v>-0.1993006993006993</v>
      </c>
      <c r="Y38" s="60">
        <v>22.902748329799575</v>
      </c>
      <c r="Z38" s="56">
        <v>32.0</v>
      </c>
      <c r="AA38" s="56" t="s">
        <v>0</v>
      </c>
      <c r="AB38" s="56" t="s">
        <v>0</v>
      </c>
      <c r="AC38" s="56" t="str">
        <f t="shared" si="7"/>
        <v>+</v>
      </c>
      <c r="AD38" s="56" t="str">
        <f>VLOOKUP(C38,'1_Ранг лучших динамика'!D:R,'1_Ранг лучших динамика'!Q$9,FALSE)</f>
        <v>#N/A</v>
      </c>
    </row>
    <row r="39" ht="16.5" customHeight="1">
      <c r="A39" s="38"/>
      <c r="B39" s="56">
        <f t="shared" si="8"/>
        <v>32</v>
      </c>
      <c r="C39" s="80" t="s">
        <v>46</v>
      </c>
      <c r="D39" s="58">
        <v>217794.0</v>
      </c>
      <c r="E39" s="56">
        <v>5.0</v>
      </c>
      <c r="F39" s="56">
        <v>1.0</v>
      </c>
      <c r="G39" s="56">
        <v>-4.0</v>
      </c>
      <c r="H39" s="59">
        <v>-0.8</v>
      </c>
      <c r="I39" s="56">
        <v>38.0</v>
      </c>
      <c r="J39" s="56">
        <v>9.0</v>
      </c>
      <c r="K39" s="56">
        <v>14.0</v>
      </c>
      <c r="L39" s="56">
        <v>5.0</v>
      </c>
      <c r="M39" s="59">
        <v>0.5555555555555556</v>
      </c>
      <c r="N39" s="56">
        <v>16.0</v>
      </c>
      <c r="O39" s="56">
        <v>169.0</v>
      </c>
      <c r="P39" s="56">
        <v>194.0</v>
      </c>
      <c r="Q39" s="56">
        <v>25.0</v>
      </c>
      <c r="R39" s="59">
        <v>0.14792899408284024</v>
      </c>
      <c r="S39" s="60">
        <v>8.90749974746779</v>
      </c>
      <c r="T39" s="56">
        <v>27.0</v>
      </c>
      <c r="U39" s="56">
        <v>515.0</v>
      </c>
      <c r="V39" s="56">
        <v>440.0</v>
      </c>
      <c r="W39" s="56">
        <v>-75.0</v>
      </c>
      <c r="X39" s="59">
        <v>-0.14563106796116504</v>
      </c>
      <c r="Y39" s="60">
        <v>20.202576746834165</v>
      </c>
      <c r="Z39" s="56">
        <v>37.0</v>
      </c>
      <c r="AA39" s="56" t="s">
        <v>0</v>
      </c>
      <c r="AB39" s="56" t="s">
        <v>0</v>
      </c>
      <c r="AC39" s="56" t="str">
        <f t="shared" si="7"/>
        <v>+</v>
      </c>
      <c r="AD39" s="56" t="str">
        <f>VLOOKUP(C39,'1_Ранг лучших динамика'!D:R,'1_Ранг лучших динамика'!Q$9,FALSE)</f>
        <v>#N/A</v>
      </c>
    </row>
    <row r="40" ht="16.5" customHeight="1">
      <c r="A40" s="38"/>
      <c r="B40" s="56">
        <f t="shared" si="8"/>
        <v>33</v>
      </c>
      <c r="C40" s="80" t="s">
        <v>93</v>
      </c>
      <c r="D40" s="58">
        <v>29700.0</v>
      </c>
      <c r="E40" s="56">
        <v>0.0</v>
      </c>
      <c r="F40" s="56">
        <v>0.0</v>
      </c>
      <c r="G40" s="56">
        <v>0.0</v>
      </c>
      <c r="H40" s="59" t="s">
        <v>41</v>
      </c>
      <c r="I40" s="56">
        <v>47.0</v>
      </c>
      <c r="J40" s="56">
        <v>1.0</v>
      </c>
      <c r="K40" s="56">
        <v>0.0</v>
      </c>
      <c r="L40" s="56">
        <v>-1.0</v>
      </c>
      <c r="M40" s="59">
        <v>-1.0</v>
      </c>
      <c r="N40" s="56">
        <v>38.0</v>
      </c>
      <c r="O40" s="56">
        <v>11.0</v>
      </c>
      <c r="P40" s="56">
        <v>21.0</v>
      </c>
      <c r="Q40" s="56">
        <v>10.0</v>
      </c>
      <c r="R40" s="59">
        <v>0.9090909090909091</v>
      </c>
      <c r="S40" s="60">
        <v>7.070707070707071</v>
      </c>
      <c r="T40" s="56">
        <v>37.0</v>
      </c>
      <c r="U40" s="56">
        <v>144.0</v>
      </c>
      <c r="V40" s="56">
        <v>74.0</v>
      </c>
      <c r="W40" s="56">
        <v>-70.0</v>
      </c>
      <c r="X40" s="59">
        <v>-0.4861111111111111</v>
      </c>
      <c r="Y40" s="60">
        <v>24.915824915824917</v>
      </c>
      <c r="Z40" s="56">
        <v>27.0</v>
      </c>
      <c r="AA40" s="56" t="s">
        <v>176</v>
      </c>
      <c r="AB40" s="56" t="s">
        <v>176</v>
      </c>
      <c r="AC40" s="56" t="str">
        <f t="shared" si="7"/>
        <v>-</v>
      </c>
      <c r="AD40" s="56" t="str">
        <f>VLOOKUP(C40,'1_Ранг лучших динамика'!D:R,'1_Ранг лучших динамика'!Q$9,FALSE)</f>
        <v>#N/A</v>
      </c>
    </row>
    <row r="41" ht="16.5" customHeight="1">
      <c r="A41" s="38"/>
      <c r="B41" s="56">
        <f t="shared" si="8"/>
        <v>34</v>
      </c>
      <c r="C41" s="80" t="s">
        <v>47</v>
      </c>
      <c r="D41" s="58">
        <v>241038.0</v>
      </c>
      <c r="E41" s="56">
        <v>36.0</v>
      </c>
      <c r="F41" s="56">
        <v>22.0</v>
      </c>
      <c r="G41" s="56">
        <v>-14.0</v>
      </c>
      <c r="H41" s="59">
        <v>-0.3888888888888889</v>
      </c>
      <c r="I41" s="56">
        <v>16.0</v>
      </c>
      <c r="J41" s="56">
        <v>4.0</v>
      </c>
      <c r="K41" s="56">
        <v>5.0</v>
      </c>
      <c r="L41" s="56">
        <v>1.0</v>
      </c>
      <c r="M41" s="59">
        <v>0.25</v>
      </c>
      <c r="N41" s="56">
        <v>27.0</v>
      </c>
      <c r="O41" s="56">
        <v>164.0</v>
      </c>
      <c r="P41" s="56">
        <v>277.0</v>
      </c>
      <c r="Q41" s="56">
        <v>113.0</v>
      </c>
      <c r="R41" s="59">
        <v>0.6890243902439024</v>
      </c>
      <c r="S41" s="60">
        <v>11.491963922700984</v>
      </c>
      <c r="T41" s="56">
        <v>22.0</v>
      </c>
      <c r="U41" s="56">
        <v>550.0</v>
      </c>
      <c r="V41" s="56">
        <v>383.0</v>
      </c>
      <c r="W41" s="56">
        <v>-167.0</v>
      </c>
      <c r="X41" s="59">
        <v>-0.30363636363636365</v>
      </c>
      <c r="Y41" s="60">
        <v>15.889610766767065</v>
      </c>
      <c r="Z41" s="56">
        <v>43.0</v>
      </c>
      <c r="AA41" s="56" t="s">
        <v>176</v>
      </c>
      <c r="AB41" s="56" t="s">
        <v>0</v>
      </c>
      <c r="AC41" s="56" t="str">
        <f t="shared" si="7"/>
        <v>+</v>
      </c>
      <c r="AD41" s="56" t="str">
        <f>VLOOKUP(C41,'1_Ранг лучших динамика'!D:R,'1_Ранг лучших динамика'!Q$9,FALSE)</f>
        <v>#N/A</v>
      </c>
    </row>
    <row r="42" ht="16.5" customHeight="1">
      <c r="A42" s="38"/>
      <c r="B42" s="56">
        <f t="shared" si="8"/>
        <v>35</v>
      </c>
      <c r="C42" s="80" t="s">
        <v>64</v>
      </c>
      <c r="D42" s="58">
        <v>278578.0</v>
      </c>
      <c r="E42" s="56">
        <v>17.0</v>
      </c>
      <c r="F42" s="56">
        <v>24.0</v>
      </c>
      <c r="G42" s="56">
        <v>7.0</v>
      </c>
      <c r="H42" s="59">
        <v>0.4117647058823529</v>
      </c>
      <c r="I42" s="56">
        <v>13.0</v>
      </c>
      <c r="J42" s="56">
        <v>17.0</v>
      </c>
      <c r="K42" s="56">
        <v>2.0</v>
      </c>
      <c r="L42" s="56">
        <v>-15.0</v>
      </c>
      <c r="M42" s="59">
        <v>-0.8823529411764706</v>
      </c>
      <c r="N42" s="56">
        <v>31.0</v>
      </c>
      <c r="O42" s="56">
        <v>156.0</v>
      </c>
      <c r="P42" s="56">
        <v>237.0</v>
      </c>
      <c r="Q42" s="56">
        <v>81.0</v>
      </c>
      <c r="R42" s="59">
        <v>0.5192307692307693</v>
      </c>
      <c r="S42" s="60">
        <v>8.507491618146444</v>
      </c>
      <c r="T42" s="56">
        <v>30.0</v>
      </c>
      <c r="U42" s="56">
        <v>689.0</v>
      </c>
      <c r="V42" s="56">
        <v>617.0</v>
      </c>
      <c r="W42" s="56">
        <v>-72.0</v>
      </c>
      <c r="X42" s="59">
        <v>-0.10449927431059507</v>
      </c>
      <c r="Y42" s="60">
        <v>22.148195478465635</v>
      </c>
      <c r="Z42" s="56">
        <v>35.0</v>
      </c>
      <c r="AA42" s="56" t="s">
        <v>0</v>
      </c>
      <c r="AB42" s="56" t="s">
        <v>0</v>
      </c>
      <c r="AC42" s="56" t="str">
        <f t="shared" si="7"/>
        <v>+</v>
      </c>
      <c r="AD42" s="56" t="str">
        <f>VLOOKUP(C42,'1_Ранг лучших динамика'!D:R,'1_Ранг лучших динамика'!Q$9,FALSE)</f>
        <v>#N/A</v>
      </c>
    </row>
    <row r="43" ht="16.5" customHeight="1">
      <c r="A43" s="38"/>
      <c r="B43" s="56">
        <f t="shared" si="8"/>
        <v>36</v>
      </c>
      <c r="C43" s="80" t="s">
        <v>89</v>
      </c>
      <c r="D43" s="58">
        <v>66079.0</v>
      </c>
      <c r="E43" s="56">
        <v>1.0</v>
      </c>
      <c r="F43" s="56">
        <v>1.0</v>
      </c>
      <c r="G43" s="56">
        <v>0.0</v>
      </c>
      <c r="H43" s="59">
        <v>0.0</v>
      </c>
      <c r="I43" s="56">
        <v>38.0</v>
      </c>
      <c r="J43" s="56">
        <v>0.0</v>
      </c>
      <c r="K43" s="56">
        <v>0.0</v>
      </c>
      <c r="L43" s="56">
        <v>0.0</v>
      </c>
      <c r="M43" s="59" t="s">
        <v>41</v>
      </c>
      <c r="N43" s="56">
        <v>38.0</v>
      </c>
      <c r="O43" s="56">
        <v>33.0</v>
      </c>
      <c r="P43" s="56">
        <v>51.0</v>
      </c>
      <c r="Q43" s="56">
        <v>18.0</v>
      </c>
      <c r="R43" s="59">
        <v>0.5454545454545454</v>
      </c>
      <c r="S43" s="60">
        <v>7.718034473887316</v>
      </c>
      <c r="T43" s="56">
        <v>35.0</v>
      </c>
      <c r="U43" s="56">
        <v>40.0</v>
      </c>
      <c r="V43" s="56">
        <v>153.0</v>
      </c>
      <c r="W43" s="56">
        <v>113.0</v>
      </c>
      <c r="X43" s="59">
        <v>2.825</v>
      </c>
      <c r="Y43" s="60">
        <v>23.15410342166195</v>
      </c>
      <c r="Z43" s="56">
        <v>31.0</v>
      </c>
      <c r="AA43" s="56" t="s">
        <v>176</v>
      </c>
      <c r="AB43" s="56" t="s">
        <v>0</v>
      </c>
      <c r="AC43" s="56" t="str">
        <f t="shared" si="7"/>
        <v>+</v>
      </c>
      <c r="AD43" s="56" t="str">
        <f>VLOOKUP(C43,'1_Ранг лучших динамика'!D:R,'1_Ранг лучших динамика'!Q$9,FALSE)</f>
        <v>#N/A</v>
      </c>
    </row>
    <row r="44" ht="16.5" customHeight="1">
      <c r="A44" s="38"/>
      <c r="B44" s="56">
        <f t="shared" si="8"/>
        <v>37</v>
      </c>
      <c r="C44" s="80" t="s">
        <v>84</v>
      </c>
      <c r="D44" s="58">
        <v>101978.0</v>
      </c>
      <c r="E44" s="56">
        <v>1.0</v>
      </c>
      <c r="F44" s="56">
        <v>6.0</v>
      </c>
      <c r="G44" s="56">
        <v>5.0</v>
      </c>
      <c r="H44" s="59">
        <v>5.0</v>
      </c>
      <c r="I44" s="56">
        <v>29.0</v>
      </c>
      <c r="J44" s="56">
        <v>2.0</v>
      </c>
      <c r="K44" s="56">
        <v>0.0</v>
      </c>
      <c r="L44" s="56">
        <v>-2.0</v>
      </c>
      <c r="M44" s="59">
        <v>-1.0</v>
      </c>
      <c r="N44" s="56">
        <v>38.0</v>
      </c>
      <c r="O44" s="56">
        <v>79.0</v>
      </c>
      <c r="P44" s="56">
        <v>103.0</v>
      </c>
      <c r="Q44" s="56">
        <v>24.0</v>
      </c>
      <c r="R44" s="59">
        <v>0.3037974683544304</v>
      </c>
      <c r="S44" s="60">
        <v>10.100217694012434</v>
      </c>
      <c r="T44" s="56">
        <v>25.0</v>
      </c>
      <c r="U44" s="56">
        <v>202.0</v>
      </c>
      <c r="V44" s="56">
        <v>166.0</v>
      </c>
      <c r="W44" s="56">
        <v>-36.0</v>
      </c>
      <c r="X44" s="59">
        <v>-0.1782178217821782</v>
      </c>
      <c r="Y44" s="60">
        <v>16.278020749573436</v>
      </c>
      <c r="Z44" s="56">
        <v>42.0</v>
      </c>
      <c r="AA44" s="56" t="s">
        <v>176</v>
      </c>
      <c r="AB44" s="56" t="s">
        <v>0</v>
      </c>
      <c r="AC44" s="56" t="str">
        <f t="shared" si="7"/>
        <v>+</v>
      </c>
      <c r="AD44" s="56" t="str">
        <f>VLOOKUP(C44,'1_Ранг лучших динамика'!D:R,'1_Ранг лучших динамика'!Q$9,FALSE)</f>
        <v>#N/A</v>
      </c>
    </row>
    <row r="45" ht="16.5" customHeight="1">
      <c r="A45" s="38"/>
      <c r="B45" s="56">
        <f t="shared" si="8"/>
        <v>38</v>
      </c>
      <c r="C45" s="80" t="s">
        <v>74</v>
      </c>
      <c r="D45" s="58">
        <v>70669.0</v>
      </c>
      <c r="E45" s="56">
        <v>0.0</v>
      </c>
      <c r="F45" s="56">
        <v>0.0</v>
      </c>
      <c r="G45" s="56">
        <v>0.0</v>
      </c>
      <c r="H45" s="59" t="s">
        <v>41</v>
      </c>
      <c r="I45" s="56">
        <v>47.0</v>
      </c>
      <c r="J45" s="56">
        <v>0.0</v>
      </c>
      <c r="K45" s="56">
        <v>2.0</v>
      </c>
      <c r="L45" s="56">
        <v>2.0</v>
      </c>
      <c r="M45" s="59" t="s">
        <v>41</v>
      </c>
      <c r="N45" s="56">
        <v>31.0</v>
      </c>
      <c r="O45" s="56">
        <v>19.0</v>
      </c>
      <c r="P45" s="56">
        <v>55.0</v>
      </c>
      <c r="Q45" s="56">
        <v>36.0</v>
      </c>
      <c r="R45" s="59">
        <v>1.894736842105263</v>
      </c>
      <c r="S45" s="60">
        <v>7.782761889937596</v>
      </c>
      <c r="T45" s="56">
        <v>34.0</v>
      </c>
      <c r="U45" s="56">
        <v>174.0</v>
      </c>
      <c r="V45" s="56">
        <v>145.0</v>
      </c>
      <c r="W45" s="56">
        <v>-29.0</v>
      </c>
      <c r="X45" s="59">
        <v>-0.16666666666666666</v>
      </c>
      <c r="Y45" s="60">
        <v>20.51819043710821</v>
      </c>
      <c r="Z45" s="56">
        <v>36.0</v>
      </c>
      <c r="AA45" s="56" t="s">
        <v>176</v>
      </c>
      <c r="AB45" s="56" t="s">
        <v>176</v>
      </c>
      <c r="AC45" s="56" t="str">
        <f t="shared" si="7"/>
        <v>-</v>
      </c>
      <c r="AD45" s="56">
        <f>VLOOKUP(C45,'1_Ранг лучших динамика'!D:R,'1_Ранг лучших динамика'!Q$9,FALSE)</f>
        <v>35</v>
      </c>
    </row>
    <row r="46" ht="16.5" customHeight="1">
      <c r="A46" s="38"/>
      <c r="B46" s="56">
        <f t="shared" si="8"/>
        <v>39</v>
      </c>
      <c r="C46" s="80" t="s">
        <v>73</v>
      </c>
      <c r="D46" s="58">
        <v>214925.0</v>
      </c>
      <c r="E46" s="56">
        <v>9.0</v>
      </c>
      <c r="F46" s="56">
        <v>12.0</v>
      </c>
      <c r="G46" s="56">
        <v>3.0</v>
      </c>
      <c r="H46" s="59">
        <v>0.3333333333333333</v>
      </c>
      <c r="I46" s="56">
        <v>22.0</v>
      </c>
      <c r="J46" s="56">
        <v>12.0</v>
      </c>
      <c r="K46" s="56">
        <v>1.0</v>
      </c>
      <c r="L46" s="56">
        <v>-11.0</v>
      </c>
      <c r="M46" s="59">
        <v>-0.9166666666666666</v>
      </c>
      <c r="N46" s="56">
        <v>36.0</v>
      </c>
      <c r="O46" s="56">
        <v>142.0</v>
      </c>
      <c r="P46" s="56">
        <v>171.0</v>
      </c>
      <c r="Q46" s="56">
        <v>29.0</v>
      </c>
      <c r="R46" s="59">
        <v>0.20422535211267606</v>
      </c>
      <c r="S46" s="60">
        <v>7.956263812958008</v>
      </c>
      <c r="T46" s="56">
        <v>33.0</v>
      </c>
      <c r="U46" s="56">
        <v>472.0</v>
      </c>
      <c r="V46" s="56">
        <v>355.0</v>
      </c>
      <c r="W46" s="56">
        <v>-117.0</v>
      </c>
      <c r="X46" s="59">
        <v>-0.2478813559322034</v>
      </c>
      <c r="Y46" s="60">
        <v>16.51738978713505</v>
      </c>
      <c r="Z46" s="56">
        <v>40.0</v>
      </c>
      <c r="AA46" s="56" t="s">
        <v>176</v>
      </c>
      <c r="AB46" s="56" t="s">
        <v>0</v>
      </c>
      <c r="AC46" s="56" t="str">
        <f t="shared" si="7"/>
        <v>+</v>
      </c>
      <c r="AD46" s="56" t="str">
        <f>VLOOKUP(C46,'1_Ранг лучших динамика'!D:R,'1_Ранг лучших динамика'!Q$9,FALSE)</f>
        <v>#N/A</v>
      </c>
    </row>
    <row r="47" ht="16.5" customHeight="1">
      <c r="A47" s="38"/>
      <c r="B47" s="56">
        <f t="shared" si="8"/>
        <v>40</v>
      </c>
      <c r="C47" s="80" t="s">
        <v>53</v>
      </c>
      <c r="D47" s="58">
        <v>237574.0</v>
      </c>
      <c r="E47" s="56">
        <v>19.0</v>
      </c>
      <c r="F47" s="56">
        <v>15.0</v>
      </c>
      <c r="G47" s="56">
        <v>-4.0</v>
      </c>
      <c r="H47" s="59">
        <v>-0.21052631578947367</v>
      </c>
      <c r="I47" s="56">
        <v>20.0</v>
      </c>
      <c r="J47" s="56">
        <v>1.0</v>
      </c>
      <c r="K47" s="56">
        <v>31.0</v>
      </c>
      <c r="L47" s="56">
        <v>30.0</v>
      </c>
      <c r="M47" s="59">
        <v>30.0</v>
      </c>
      <c r="N47" s="56">
        <v>6.0</v>
      </c>
      <c r="O47" s="56">
        <v>210.0</v>
      </c>
      <c r="P47" s="56">
        <v>179.0</v>
      </c>
      <c r="Q47" s="56">
        <v>-31.0</v>
      </c>
      <c r="R47" s="59">
        <v>-0.14761904761904762</v>
      </c>
      <c r="S47" s="60">
        <v>7.5344945153930984</v>
      </c>
      <c r="T47" s="56">
        <v>36.0</v>
      </c>
      <c r="U47" s="56">
        <v>583.0</v>
      </c>
      <c r="V47" s="56">
        <v>456.0</v>
      </c>
      <c r="W47" s="56">
        <v>-127.0</v>
      </c>
      <c r="X47" s="59">
        <v>-0.21783876500857632</v>
      </c>
      <c r="Y47" s="60">
        <v>19.19401954759359</v>
      </c>
      <c r="Z47" s="56">
        <v>39.0</v>
      </c>
      <c r="AA47" s="56" t="s">
        <v>0</v>
      </c>
      <c r="AB47" s="56" t="s">
        <v>0</v>
      </c>
      <c r="AC47" s="56" t="str">
        <f t="shared" si="7"/>
        <v>+</v>
      </c>
      <c r="AD47" s="56">
        <f>VLOOKUP(C47,'1_Ранг лучших динамика'!D:R,'1_Ранг лучших динамика'!Q$9,FALSE)</f>
        <v>5</v>
      </c>
    </row>
    <row r="48" ht="16.5" customHeight="1">
      <c r="A48" s="38"/>
      <c r="B48" s="56">
        <f t="shared" si="8"/>
        <v>41</v>
      </c>
      <c r="C48" s="80" t="s">
        <v>65</v>
      </c>
      <c r="D48" s="58">
        <v>119957.0</v>
      </c>
      <c r="E48" s="56">
        <v>0.0</v>
      </c>
      <c r="F48" s="56">
        <v>6.0</v>
      </c>
      <c r="G48" s="56">
        <v>6.0</v>
      </c>
      <c r="H48" s="59" t="s">
        <v>41</v>
      </c>
      <c r="I48" s="56">
        <v>29.0</v>
      </c>
      <c r="J48" s="56">
        <v>0.0</v>
      </c>
      <c r="K48" s="56">
        <v>18.0</v>
      </c>
      <c r="L48" s="56">
        <v>18.0</v>
      </c>
      <c r="M48" s="59" t="s">
        <v>41</v>
      </c>
      <c r="N48" s="56">
        <v>12.0</v>
      </c>
      <c r="O48" s="56">
        <v>45.0</v>
      </c>
      <c r="P48" s="56">
        <v>40.0</v>
      </c>
      <c r="Q48" s="56">
        <v>-5.0</v>
      </c>
      <c r="R48" s="59">
        <v>-0.1111111111111111</v>
      </c>
      <c r="S48" s="60">
        <v>3.334528205940462</v>
      </c>
      <c r="T48" s="56">
        <v>47.0</v>
      </c>
      <c r="U48" s="56">
        <v>320.0</v>
      </c>
      <c r="V48" s="56">
        <v>279.0</v>
      </c>
      <c r="W48" s="56">
        <v>-41.0</v>
      </c>
      <c r="X48" s="59">
        <v>-0.128125</v>
      </c>
      <c r="Y48" s="60">
        <v>23.258334236434724</v>
      </c>
      <c r="Z48" s="56">
        <v>30.0</v>
      </c>
      <c r="AA48" s="56" t="s">
        <v>176</v>
      </c>
      <c r="AB48" s="56" t="s">
        <v>176</v>
      </c>
      <c r="AC48" s="56" t="str">
        <f t="shared" si="7"/>
        <v>-</v>
      </c>
      <c r="AD48" s="56" t="str">
        <f>VLOOKUP(C48,'1_Ранг лучших динамика'!D:R,'1_Ранг лучших динамика'!Q$9,FALSE)</f>
        <v>#N/A</v>
      </c>
    </row>
    <row r="49" ht="16.5" customHeight="1">
      <c r="A49" s="38"/>
      <c r="B49" s="56">
        <f t="shared" si="8"/>
        <v>42</v>
      </c>
      <c r="C49" s="80" t="s">
        <v>90</v>
      </c>
      <c r="D49" s="58">
        <v>113140.0</v>
      </c>
      <c r="E49" s="56">
        <v>1.0</v>
      </c>
      <c r="F49" s="56">
        <v>1.0</v>
      </c>
      <c r="G49" s="56">
        <v>0.0</v>
      </c>
      <c r="H49" s="59">
        <v>0.0</v>
      </c>
      <c r="I49" s="56">
        <v>38.0</v>
      </c>
      <c r="J49" s="56">
        <v>5.0</v>
      </c>
      <c r="K49" s="56">
        <v>0.0</v>
      </c>
      <c r="L49" s="56">
        <v>-5.0</v>
      </c>
      <c r="M49" s="59">
        <v>-1.0</v>
      </c>
      <c r="N49" s="56">
        <v>38.0</v>
      </c>
      <c r="O49" s="56">
        <v>55.0</v>
      </c>
      <c r="P49" s="56">
        <v>62.0</v>
      </c>
      <c r="Q49" s="56">
        <v>7.0</v>
      </c>
      <c r="R49" s="59">
        <v>0.12727272727272726</v>
      </c>
      <c r="S49" s="60">
        <v>5.479936362029344</v>
      </c>
      <c r="T49" s="56">
        <v>41.0</v>
      </c>
      <c r="U49" s="56">
        <v>160.0</v>
      </c>
      <c r="V49" s="56">
        <v>222.0</v>
      </c>
      <c r="W49" s="56">
        <v>62.0</v>
      </c>
      <c r="X49" s="59">
        <v>0.3875</v>
      </c>
      <c r="Y49" s="60">
        <v>19.621707618879263</v>
      </c>
      <c r="Z49" s="56">
        <v>38.0</v>
      </c>
      <c r="AA49" s="56" t="s">
        <v>176</v>
      </c>
      <c r="AB49" s="56" t="s">
        <v>0</v>
      </c>
      <c r="AC49" s="56" t="str">
        <f t="shared" si="7"/>
        <v>+</v>
      </c>
      <c r="AD49" s="56" t="str">
        <f>VLOOKUP(C49,'1_Ранг лучших динамика'!D:R,'1_Ранг лучших динамика'!Q$9,FALSE)</f>
        <v>#N/A</v>
      </c>
    </row>
    <row r="50" ht="16.5" customHeight="1">
      <c r="A50" s="38"/>
      <c r="B50" s="56">
        <f t="shared" si="8"/>
        <v>43</v>
      </c>
      <c r="C50" s="80" t="s">
        <v>50</v>
      </c>
      <c r="D50" s="58">
        <v>309204.0</v>
      </c>
      <c r="E50" s="56">
        <v>8.0</v>
      </c>
      <c r="F50" s="56">
        <v>4.0</v>
      </c>
      <c r="G50" s="56">
        <v>-4.0</v>
      </c>
      <c r="H50" s="59">
        <v>-0.5</v>
      </c>
      <c r="I50" s="56">
        <v>34.0</v>
      </c>
      <c r="J50" s="56">
        <v>7.0</v>
      </c>
      <c r="K50" s="56">
        <v>0.0</v>
      </c>
      <c r="L50" s="56">
        <v>-7.0</v>
      </c>
      <c r="M50" s="59">
        <v>-1.0</v>
      </c>
      <c r="N50" s="56">
        <v>38.0</v>
      </c>
      <c r="O50" s="56">
        <v>167.0</v>
      </c>
      <c r="P50" s="56">
        <v>192.0</v>
      </c>
      <c r="Q50" s="56">
        <v>25.0</v>
      </c>
      <c r="R50" s="59">
        <v>0.1497005988023952</v>
      </c>
      <c r="S50" s="60">
        <v>6.209492762059999</v>
      </c>
      <c r="T50" s="56">
        <v>39.0</v>
      </c>
      <c r="U50" s="56">
        <v>635.0</v>
      </c>
      <c r="V50" s="56">
        <v>400.0</v>
      </c>
      <c r="W50" s="56">
        <v>-235.0</v>
      </c>
      <c r="X50" s="59">
        <v>-0.3700787401574803</v>
      </c>
      <c r="Y50" s="60">
        <v>12.936443254291666</v>
      </c>
      <c r="Z50" s="56">
        <v>46.0</v>
      </c>
      <c r="AA50" s="56" t="s">
        <v>0</v>
      </c>
      <c r="AB50" s="56" t="s">
        <v>0</v>
      </c>
      <c r="AC50" s="56" t="str">
        <f t="shared" si="7"/>
        <v>+</v>
      </c>
      <c r="AD50" s="56" t="str">
        <f>VLOOKUP(C50,'1_Ранг лучших динамика'!D:R,'1_Ранг лучших динамика'!Q$9,FALSE)</f>
        <v>#N/A</v>
      </c>
    </row>
    <row r="51" ht="16.5" customHeight="1">
      <c r="A51" s="38"/>
      <c r="B51" s="56">
        <f t="shared" si="8"/>
        <v>44</v>
      </c>
      <c r="C51" s="80" t="s">
        <v>87</v>
      </c>
      <c r="D51" s="58">
        <v>226936.0</v>
      </c>
      <c r="E51" s="56">
        <v>0.0</v>
      </c>
      <c r="F51" s="56">
        <v>1.0</v>
      </c>
      <c r="G51" s="56">
        <v>1.0</v>
      </c>
      <c r="H51" s="59" t="s">
        <v>41</v>
      </c>
      <c r="I51" s="56">
        <v>38.0</v>
      </c>
      <c r="J51" s="56">
        <v>2.0</v>
      </c>
      <c r="K51" s="56">
        <v>0.0</v>
      </c>
      <c r="L51" s="56">
        <v>-2.0</v>
      </c>
      <c r="M51" s="59">
        <v>-1.0</v>
      </c>
      <c r="N51" s="56">
        <v>38.0</v>
      </c>
      <c r="O51" s="56">
        <v>10.0</v>
      </c>
      <c r="P51" s="56">
        <v>67.0</v>
      </c>
      <c r="Q51" s="56">
        <v>57.0</v>
      </c>
      <c r="R51" s="59">
        <v>5.7</v>
      </c>
      <c r="S51" s="60">
        <v>2.952374237670533</v>
      </c>
      <c r="T51" s="56">
        <v>49.0</v>
      </c>
      <c r="U51" s="56">
        <v>278.0</v>
      </c>
      <c r="V51" s="56">
        <v>374.0</v>
      </c>
      <c r="W51" s="56">
        <v>96.0</v>
      </c>
      <c r="X51" s="59">
        <v>0.34532374100719426</v>
      </c>
      <c r="Y51" s="60">
        <v>16.48041738639969</v>
      </c>
      <c r="Z51" s="56">
        <v>41.0</v>
      </c>
      <c r="AA51" s="56" t="s">
        <v>176</v>
      </c>
      <c r="AB51" s="56" t="s">
        <v>176</v>
      </c>
      <c r="AC51" s="56" t="str">
        <f t="shared" si="7"/>
        <v>-</v>
      </c>
      <c r="AD51" s="56" t="str">
        <f>VLOOKUP(C51,'1_Ранг лучших динамика'!D:R,'1_Ранг лучших динамика'!Q$9,FALSE)</f>
        <v>#N/A</v>
      </c>
    </row>
    <row r="52" ht="16.5" customHeight="1">
      <c r="A52" s="38"/>
      <c r="B52" s="56">
        <f t="shared" si="8"/>
        <v>45</v>
      </c>
      <c r="C52" s="80" t="s">
        <v>62</v>
      </c>
      <c r="D52" s="58">
        <v>74193.0</v>
      </c>
      <c r="E52" s="56">
        <v>3.0</v>
      </c>
      <c r="F52" s="56">
        <v>1.0</v>
      </c>
      <c r="G52" s="56">
        <v>-2.0</v>
      </c>
      <c r="H52" s="59">
        <v>-0.6666666666666666</v>
      </c>
      <c r="I52" s="56">
        <v>38.0</v>
      </c>
      <c r="J52" s="56">
        <v>2.0</v>
      </c>
      <c r="K52" s="56">
        <v>0.0</v>
      </c>
      <c r="L52" s="56">
        <v>-2.0</v>
      </c>
      <c r="M52" s="59">
        <v>-1.0</v>
      </c>
      <c r="N52" s="56">
        <v>38.0</v>
      </c>
      <c r="O52" s="56">
        <v>37.0</v>
      </c>
      <c r="P52" s="56">
        <v>37.0</v>
      </c>
      <c r="Q52" s="56">
        <v>0.0</v>
      </c>
      <c r="R52" s="59">
        <v>0.0</v>
      </c>
      <c r="S52" s="60">
        <v>4.986993382124998</v>
      </c>
      <c r="T52" s="56">
        <v>42.0</v>
      </c>
      <c r="U52" s="56">
        <v>315.0</v>
      </c>
      <c r="V52" s="56">
        <v>69.0</v>
      </c>
      <c r="W52" s="56">
        <v>-246.0</v>
      </c>
      <c r="X52" s="59">
        <v>-0.780952380952381</v>
      </c>
      <c r="Y52" s="60">
        <v>9.30006873963851</v>
      </c>
      <c r="Z52" s="56">
        <v>50.0</v>
      </c>
      <c r="AA52" s="56" t="s">
        <v>176</v>
      </c>
      <c r="AB52" s="56" t="s">
        <v>0</v>
      </c>
      <c r="AC52" s="56" t="str">
        <f t="shared" si="7"/>
        <v>+</v>
      </c>
      <c r="AD52" s="56" t="str">
        <f>VLOOKUP(C52,'1_Ранг лучших динамика'!D:R,'1_Ранг лучших динамика'!Q$9,FALSE)</f>
        <v>#N/A</v>
      </c>
    </row>
    <row r="53" ht="16.5" customHeight="1">
      <c r="A53" s="38"/>
      <c r="B53" s="56">
        <f t="shared" si="8"/>
        <v>46</v>
      </c>
      <c r="C53" s="80" t="s">
        <v>49</v>
      </c>
      <c r="D53" s="58">
        <v>414189.0</v>
      </c>
      <c r="E53" s="56">
        <v>4.0</v>
      </c>
      <c r="F53" s="56">
        <v>0.0</v>
      </c>
      <c r="G53" s="56">
        <v>-4.0</v>
      </c>
      <c r="H53" s="59">
        <v>-1.0</v>
      </c>
      <c r="I53" s="56">
        <v>47.0</v>
      </c>
      <c r="J53" s="56">
        <v>6.0</v>
      </c>
      <c r="K53" s="56">
        <v>2.0</v>
      </c>
      <c r="L53" s="56">
        <v>-4.0</v>
      </c>
      <c r="M53" s="59">
        <v>-0.6666666666666666</v>
      </c>
      <c r="N53" s="56">
        <v>31.0</v>
      </c>
      <c r="O53" s="56">
        <v>163.0</v>
      </c>
      <c r="P53" s="56">
        <v>133.0</v>
      </c>
      <c r="Q53" s="56">
        <v>-30.0</v>
      </c>
      <c r="R53" s="59">
        <v>-0.18404907975460122</v>
      </c>
      <c r="S53" s="60">
        <v>3.211094452049668</v>
      </c>
      <c r="T53" s="56">
        <v>48.0</v>
      </c>
      <c r="U53" s="56">
        <v>482.0</v>
      </c>
      <c r="V53" s="56">
        <v>573.0</v>
      </c>
      <c r="W53" s="56">
        <v>91.0</v>
      </c>
      <c r="X53" s="59">
        <v>0.1887966804979253</v>
      </c>
      <c r="Y53" s="60">
        <v>13.834264067853082</v>
      </c>
      <c r="Z53" s="56">
        <v>44.0</v>
      </c>
      <c r="AA53" s="56" t="s">
        <v>176</v>
      </c>
      <c r="AB53" s="56" t="s">
        <v>0</v>
      </c>
      <c r="AC53" s="56" t="str">
        <f t="shared" si="7"/>
        <v>+</v>
      </c>
      <c r="AD53" s="56" t="str">
        <f>VLOOKUP(C53,'1_Ранг лучших динамика'!D:R,'1_Ранг лучших динамика'!Q$9,FALSE)</f>
        <v>#N/A</v>
      </c>
    </row>
    <row r="54" ht="16.5" customHeight="1">
      <c r="A54" s="38"/>
      <c r="B54" s="56">
        <f t="shared" si="8"/>
        <v>47</v>
      </c>
      <c r="C54" s="80" t="s">
        <v>43</v>
      </c>
      <c r="D54" s="58">
        <v>549846.0</v>
      </c>
      <c r="E54" s="56">
        <v>35.0</v>
      </c>
      <c r="F54" s="56">
        <v>39.0</v>
      </c>
      <c r="G54" s="56">
        <v>4.0</v>
      </c>
      <c r="H54" s="59">
        <v>0.11428571428571428</v>
      </c>
      <c r="I54" s="56">
        <v>3.0</v>
      </c>
      <c r="J54" s="56">
        <v>15.0</v>
      </c>
      <c r="K54" s="56">
        <v>19.0</v>
      </c>
      <c r="L54" s="56">
        <v>4.0</v>
      </c>
      <c r="M54" s="59">
        <v>0.26666666666666666</v>
      </c>
      <c r="N54" s="56">
        <v>10.0</v>
      </c>
      <c r="O54" s="56">
        <v>258.0</v>
      </c>
      <c r="P54" s="56">
        <v>203.0</v>
      </c>
      <c r="Q54" s="56">
        <v>-55.0</v>
      </c>
      <c r="R54" s="59">
        <v>-0.2131782945736434</v>
      </c>
      <c r="S54" s="60">
        <v>3.691942834902864</v>
      </c>
      <c r="T54" s="56">
        <v>45.0</v>
      </c>
      <c r="U54" s="56">
        <v>757.0</v>
      </c>
      <c r="V54" s="56">
        <v>581.0</v>
      </c>
      <c r="W54" s="56">
        <v>-176.0</v>
      </c>
      <c r="X54" s="59">
        <v>-0.23249669749009247</v>
      </c>
      <c r="Y54" s="60">
        <v>10.566595010239231</v>
      </c>
      <c r="Z54" s="56">
        <v>48.0</v>
      </c>
      <c r="AA54" s="56" t="s">
        <v>0</v>
      </c>
      <c r="AB54" s="56" t="s">
        <v>0</v>
      </c>
      <c r="AC54" s="56" t="str">
        <f t="shared" si="7"/>
        <v>+</v>
      </c>
      <c r="AD54" s="56" t="str">
        <f>VLOOKUP(C54,'1_Ранг лучших динамика'!D:R,'1_Ранг лучших динамика'!Q$9,FALSE)</f>
        <v>#N/A</v>
      </c>
    </row>
    <row r="55" ht="16.5" customHeight="1">
      <c r="A55" s="38"/>
      <c r="B55" s="56">
        <f t="shared" si="8"/>
        <v>48</v>
      </c>
      <c r="C55" s="80" t="s">
        <v>97</v>
      </c>
      <c r="D55" s="58">
        <v>44402.0</v>
      </c>
      <c r="E55" s="56">
        <v>0.0</v>
      </c>
      <c r="F55" s="56">
        <v>0.0</v>
      </c>
      <c r="G55" s="56">
        <v>0.0</v>
      </c>
      <c r="H55" s="59" t="s">
        <v>41</v>
      </c>
      <c r="I55" s="56">
        <v>47.0</v>
      </c>
      <c r="J55" s="56">
        <v>0.0</v>
      </c>
      <c r="K55" s="56">
        <v>0.0</v>
      </c>
      <c r="L55" s="56">
        <v>0.0</v>
      </c>
      <c r="M55" s="59" t="s">
        <v>41</v>
      </c>
      <c r="N55" s="56">
        <v>38.0</v>
      </c>
      <c r="O55" s="56">
        <v>0.0</v>
      </c>
      <c r="P55" s="56">
        <v>11.0</v>
      </c>
      <c r="Q55" s="56">
        <v>11.0</v>
      </c>
      <c r="R55" s="59" t="s">
        <v>41</v>
      </c>
      <c r="S55" s="60">
        <v>2.477365884419621</v>
      </c>
      <c r="T55" s="56">
        <v>51.0</v>
      </c>
      <c r="U55" s="56">
        <v>70.0</v>
      </c>
      <c r="V55" s="56">
        <v>58.0</v>
      </c>
      <c r="W55" s="56">
        <v>-12.0</v>
      </c>
      <c r="X55" s="59">
        <v>-0.17142857142857143</v>
      </c>
      <c r="Y55" s="60">
        <v>13.062474663303455</v>
      </c>
      <c r="Z55" s="56">
        <v>45.0</v>
      </c>
      <c r="AA55" s="56" t="s">
        <v>176</v>
      </c>
      <c r="AB55" s="56" t="s">
        <v>176</v>
      </c>
      <c r="AC55" s="56" t="str">
        <f t="shared" si="7"/>
        <v>-</v>
      </c>
      <c r="AD55" s="56" t="str">
        <f>VLOOKUP(C55,'1_Ранг лучших динамика'!D:R,'1_Ранг лучших динамика'!Q$9,FALSE)</f>
        <v>#N/A</v>
      </c>
    </row>
    <row r="56" ht="16.5" customHeight="1">
      <c r="A56" s="38"/>
      <c r="B56" s="56">
        <f t="shared" si="8"/>
        <v>49</v>
      </c>
      <c r="C56" s="80" t="s">
        <v>82</v>
      </c>
      <c r="D56" s="58">
        <v>59622.0</v>
      </c>
      <c r="E56" s="56">
        <v>0.0</v>
      </c>
      <c r="F56" s="56">
        <v>1.0</v>
      </c>
      <c r="G56" s="56">
        <v>1.0</v>
      </c>
      <c r="H56" s="59" t="s">
        <v>41</v>
      </c>
      <c r="I56" s="56">
        <v>38.0</v>
      </c>
      <c r="J56" s="56">
        <v>0.0</v>
      </c>
      <c r="K56" s="56">
        <v>0.0</v>
      </c>
      <c r="L56" s="56">
        <v>0.0</v>
      </c>
      <c r="M56" s="59" t="s">
        <v>41</v>
      </c>
      <c r="N56" s="56">
        <v>38.0</v>
      </c>
      <c r="O56" s="56">
        <v>30.0</v>
      </c>
      <c r="P56" s="56">
        <v>25.0</v>
      </c>
      <c r="Q56" s="56">
        <v>-5.0</v>
      </c>
      <c r="R56" s="59">
        <v>-0.16666666666666666</v>
      </c>
      <c r="S56" s="60">
        <v>4.193083090134514</v>
      </c>
      <c r="T56" s="56">
        <v>44.0</v>
      </c>
      <c r="U56" s="56">
        <v>23.0</v>
      </c>
      <c r="V56" s="56">
        <v>27.0</v>
      </c>
      <c r="W56" s="56">
        <v>4.0</v>
      </c>
      <c r="X56" s="59">
        <v>0.17391304347826086</v>
      </c>
      <c r="Y56" s="60">
        <v>4.528529737345275</v>
      </c>
      <c r="Z56" s="56">
        <v>53.0</v>
      </c>
      <c r="AA56" s="56" t="s">
        <v>176</v>
      </c>
      <c r="AB56" s="56" t="s">
        <v>176</v>
      </c>
      <c r="AC56" s="56" t="str">
        <f t="shared" si="7"/>
        <v>-</v>
      </c>
      <c r="AD56" s="56" t="str">
        <f>VLOOKUP(C56,'1_Ранг лучших динамика'!D:R,'1_Ранг лучших динамика'!Q$9,FALSE)</f>
        <v>#N/A</v>
      </c>
    </row>
    <row r="57" ht="16.5" customHeight="1">
      <c r="A57" s="38"/>
      <c r="B57" s="56">
        <f t="shared" si="8"/>
        <v>50</v>
      </c>
      <c r="C57" s="80" t="s">
        <v>45</v>
      </c>
      <c r="D57" s="58">
        <v>152190.0</v>
      </c>
      <c r="E57" s="56">
        <v>2.0</v>
      </c>
      <c r="F57" s="56">
        <v>6.0</v>
      </c>
      <c r="G57" s="56">
        <v>4.0</v>
      </c>
      <c r="H57" s="59">
        <v>2.0</v>
      </c>
      <c r="I57" s="56">
        <v>29.0</v>
      </c>
      <c r="J57" s="56">
        <v>5.0</v>
      </c>
      <c r="K57" s="56">
        <v>8.0</v>
      </c>
      <c r="L57" s="56">
        <v>3.0</v>
      </c>
      <c r="M57" s="59">
        <v>0.6</v>
      </c>
      <c r="N57" s="56">
        <v>21.0</v>
      </c>
      <c r="O57" s="56">
        <v>61.0</v>
      </c>
      <c r="P57" s="56">
        <v>52.0</v>
      </c>
      <c r="Q57" s="56">
        <v>-9.0</v>
      </c>
      <c r="R57" s="59">
        <v>-0.14754098360655737</v>
      </c>
      <c r="S57" s="60">
        <v>3.416781654510809</v>
      </c>
      <c r="T57" s="56">
        <v>46.0</v>
      </c>
      <c r="U57" s="56">
        <v>140.0</v>
      </c>
      <c r="V57" s="56">
        <v>114.0</v>
      </c>
      <c r="W57" s="56">
        <v>-26.0</v>
      </c>
      <c r="X57" s="59">
        <v>-0.18571428571428572</v>
      </c>
      <c r="Y57" s="60">
        <v>7.49063670411985</v>
      </c>
      <c r="Z57" s="56">
        <v>52.0</v>
      </c>
      <c r="AA57" s="56" t="s">
        <v>176</v>
      </c>
      <c r="AB57" s="56" t="s">
        <v>0</v>
      </c>
      <c r="AC57" s="56" t="str">
        <f t="shared" si="7"/>
        <v>+</v>
      </c>
      <c r="AD57" s="56" t="str">
        <f>VLOOKUP(C57,'1_Ранг лучших динамика'!D:R,'1_Ранг лучших динамика'!Q$9,FALSE)</f>
        <v>#N/A</v>
      </c>
    </row>
    <row r="58" ht="16.5" customHeight="1">
      <c r="A58" s="38"/>
      <c r="B58" s="56">
        <f t="shared" si="8"/>
        <v>51</v>
      </c>
      <c r="C58" s="80" t="s">
        <v>86</v>
      </c>
      <c r="D58" s="58">
        <v>110507.0</v>
      </c>
      <c r="E58" s="56">
        <v>4.0</v>
      </c>
      <c r="F58" s="56">
        <v>4.0</v>
      </c>
      <c r="G58" s="56">
        <v>0.0</v>
      </c>
      <c r="H58" s="59">
        <v>0.0</v>
      </c>
      <c r="I58" s="56">
        <v>34.0</v>
      </c>
      <c r="J58" s="56">
        <v>1.0</v>
      </c>
      <c r="K58" s="56">
        <v>0.0</v>
      </c>
      <c r="L58" s="56">
        <v>-1.0</v>
      </c>
      <c r="M58" s="59">
        <v>-1.0</v>
      </c>
      <c r="N58" s="56">
        <v>38.0</v>
      </c>
      <c r="O58" s="56">
        <v>27.0</v>
      </c>
      <c r="P58" s="56">
        <v>25.0</v>
      </c>
      <c r="Q58" s="56">
        <v>-2.0</v>
      </c>
      <c r="R58" s="59">
        <v>-0.07407407407407407</v>
      </c>
      <c r="S58" s="60">
        <v>2.262300125783887</v>
      </c>
      <c r="T58" s="56">
        <v>52.0</v>
      </c>
      <c r="U58" s="56">
        <v>93.0</v>
      </c>
      <c r="V58" s="56">
        <v>126.0</v>
      </c>
      <c r="W58" s="56">
        <v>33.0</v>
      </c>
      <c r="X58" s="59">
        <v>0.3548387096774194</v>
      </c>
      <c r="Y58" s="60">
        <v>11.40199263395079</v>
      </c>
      <c r="Z58" s="56">
        <v>47.0</v>
      </c>
      <c r="AA58" s="56" t="s">
        <v>176</v>
      </c>
      <c r="AB58" s="56" t="s">
        <v>176</v>
      </c>
      <c r="AC58" s="56" t="str">
        <f t="shared" si="7"/>
        <v>-</v>
      </c>
      <c r="AD58" s="56" t="str">
        <f>VLOOKUP(C58,'1_Ранг лучших динамика'!D:R,'1_Ранг лучших динамика'!Q$9,FALSE)</f>
        <v>#N/A</v>
      </c>
    </row>
    <row r="59" ht="16.5" customHeight="1">
      <c r="A59" s="38"/>
      <c r="B59" s="56">
        <f t="shared" si="8"/>
        <v>52</v>
      </c>
      <c r="C59" s="80" t="s">
        <v>98</v>
      </c>
      <c r="D59" s="58">
        <v>2872.0</v>
      </c>
      <c r="E59" s="56">
        <v>0.0</v>
      </c>
      <c r="F59" s="56">
        <v>0.0</v>
      </c>
      <c r="G59" s="56">
        <v>0.0</v>
      </c>
      <c r="H59" s="59" t="s">
        <v>41</v>
      </c>
      <c r="I59" s="56">
        <v>47.0</v>
      </c>
      <c r="J59" s="56">
        <v>0.0</v>
      </c>
      <c r="K59" s="56">
        <v>0.0</v>
      </c>
      <c r="L59" s="56">
        <v>0.0</v>
      </c>
      <c r="M59" s="59" t="s">
        <v>41</v>
      </c>
      <c r="N59" s="56">
        <v>38.0</v>
      </c>
      <c r="O59" s="56">
        <v>2.0</v>
      </c>
      <c r="P59" s="56">
        <v>0.0</v>
      </c>
      <c r="Q59" s="56">
        <v>-2.0</v>
      </c>
      <c r="R59" s="59">
        <v>-1.0</v>
      </c>
      <c r="S59" s="60">
        <v>0.0</v>
      </c>
      <c r="T59" s="56">
        <v>54.0</v>
      </c>
      <c r="U59" s="56">
        <v>4.0</v>
      </c>
      <c r="V59" s="56">
        <v>3.0</v>
      </c>
      <c r="W59" s="56">
        <v>-1.0</v>
      </c>
      <c r="X59" s="59">
        <v>-0.25</v>
      </c>
      <c r="Y59" s="60">
        <v>10.445682451253482</v>
      </c>
      <c r="Z59" s="56">
        <v>49.0</v>
      </c>
      <c r="AA59" s="56" t="s">
        <v>176</v>
      </c>
      <c r="AB59" s="56" t="s">
        <v>176</v>
      </c>
      <c r="AC59" s="56" t="str">
        <f t="shared" si="7"/>
        <v>-</v>
      </c>
      <c r="AD59" s="56" t="str">
        <f>VLOOKUP(C59,'1_Ранг лучших динамика'!D:R,'1_Ранг лучших динамика'!Q$9,FALSE)</f>
        <v>#N/A</v>
      </c>
    </row>
    <row r="60" ht="16.5" customHeight="1">
      <c r="A60" s="38"/>
      <c r="B60" s="56">
        <f t="shared" si="8"/>
        <v>53</v>
      </c>
      <c r="C60" s="80" t="s">
        <v>88</v>
      </c>
      <c r="D60" s="58">
        <v>68758.0</v>
      </c>
      <c r="E60" s="56">
        <v>0.0</v>
      </c>
      <c r="F60" s="56">
        <v>0.0</v>
      </c>
      <c r="G60" s="56">
        <v>0.0</v>
      </c>
      <c r="H60" s="59" t="s">
        <v>41</v>
      </c>
      <c r="I60" s="56">
        <v>47.0</v>
      </c>
      <c r="J60" s="56">
        <v>1.0</v>
      </c>
      <c r="K60" s="56">
        <v>0.0</v>
      </c>
      <c r="L60" s="56">
        <v>-1.0</v>
      </c>
      <c r="M60" s="59">
        <v>-1.0</v>
      </c>
      <c r="N60" s="56">
        <v>38.0</v>
      </c>
      <c r="O60" s="56">
        <v>14.0</v>
      </c>
      <c r="P60" s="56">
        <v>12.0</v>
      </c>
      <c r="Q60" s="56">
        <v>-2.0</v>
      </c>
      <c r="R60" s="59">
        <v>-0.14285714285714285</v>
      </c>
      <c r="S60" s="60">
        <v>1.7452514616480992</v>
      </c>
      <c r="T60" s="56">
        <v>53.0</v>
      </c>
      <c r="U60" s="56">
        <v>66.0</v>
      </c>
      <c r="V60" s="56">
        <v>55.0</v>
      </c>
      <c r="W60" s="56">
        <v>-11.0</v>
      </c>
      <c r="X60" s="59">
        <v>-0.16666666666666666</v>
      </c>
      <c r="Y60" s="60">
        <v>7.999069199220455</v>
      </c>
      <c r="Z60" s="56">
        <v>51.0</v>
      </c>
      <c r="AA60" s="56" t="s">
        <v>176</v>
      </c>
      <c r="AB60" s="56" t="s">
        <v>176</v>
      </c>
      <c r="AC60" s="56" t="str">
        <f t="shared" si="7"/>
        <v>-</v>
      </c>
      <c r="AD60" s="56" t="str">
        <f>VLOOKUP(C60,'1_Ранг лучших динамика'!D:R,'1_Ранг лучших динамика'!Q$9,FALSE)</f>
        <v>#N/A</v>
      </c>
    </row>
    <row r="61" ht="16.5" customHeight="1">
      <c r="A61" s="38"/>
      <c r="B61" s="56">
        <f t="shared" si="8"/>
        <v>54</v>
      </c>
      <c r="C61" s="80" t="s">
        <v>96</v>
      </c>
      <c r="D61" s="58">
        <v>7620.0</v>
      </c>
      <c r="E61" s="56">
        <v>0.0</v>
      </c>
      <c r="F61" s="56">
        <v>0.0</v>
      </c>
      <c r="G61" s="56">
        <v>0.0</v>
      </c>
      <c r="H61" s="59" t="s">
        <v>41</v>
      </c>
      <c r="I61" s="56">
        <v>47.0</v>
      </c>
      <c r="J61" s="56">
        <v>0.0</v>
      </c>
      <c r="K61" s="56">
        <v>0.0</v>
      </c>
      <c r="L61" s="56">
        <v>0.0</v>
      </c>
      <c r="M61" s="59" t="s">
        <v>41</v>
      </c>
      <c r="N61" s="56">
        <v>38.0</v>
      </c>
      <c r="O61" s="56">
        <v>0.0</v>
      </c>
      <c r="P61" s="56">
        <v>2.0</v>
      </c>
      <c r="Q61" s="56">
        <v>2.0</v>
      </c>
      <c r="R61" s="59" t="s">
        <v>41</v>
      </c>
      <c r="S61" s="60">
        <v>2.6246719160104988</v>
      </c>
      <c r="T61" s="56">
        <v>50.0</v>
      </c>
      <c r="U61" s="56">
        <v>0.0</v>
      </c>
      <c r="V61" s="56">
        <v>1.0</v>
      </c>
      <c r="W61" s="56">
        <v>1.0</v>
      </c>
      <c r="X61" s="59" t="s">
        <v>41</v>
      </c>
      <c r="Y61" s="60">
        <v>1.3123359580052494</v>
      </c>
      <c r="Z61" s="56">
        <v>54.0</v>
      </c>
      <c r="AA61" s="56" t="s">
        <v>176</v>
      </c>
      <c r="AB61" s="56" t="s">
        <v>176</v>
      </c>
      <c r="AC61" s="56" t="str">
        <f t="shared" si="7"/>
        <v>-</v>
      </c>
      <c r="AD61" s="56" t="str">
        <f>VLOOKUP(C61,'1_Ранг лучших динамика'!D:R,'1_Ранг лучших динамика'!Q$9,FALSE)</f>
        <v>#N/A</v>
      </c>
    </row>
    <row r="62" ht="16.5" customHeight="1">
      <c r="A62" s="38"/>
      <c r="B62" s="56">
        <f t="shared" si="8"/>
        <v>55</v>
      </c>
      <c r="C62" s="80" t="s">
        <v>94</v>
      </c>
      <c r="D62" s="58">
        <v>28401.0</v>
      </c>
      <c r="E62" s="56">
        <v>0.0</v>
      </c>
      <c r="F62" s="56">
        <v>0.0</v>
      </c>
      <c r="G62" s="56">
        <v>0.0</v>
      </c>
      <c r="H62" s="59" t="s">
        <v>41</v>
      </c>
      <c r="I62" s="56">
        <v>47.0</v>
      </c>
      <c r="J62" s="56">
        <v>0.0</v>
      </c>
      <c r="K62" s="56">
        <v>0.0</v>
      </c>
      <c r="L62" s="56">
        <v>0.0</v>
      </c>
      <c r="M62" s="59" t="s">
        <v>41</v>
      </c>
      <c r="N62" s="56">
        <v>38.0</v>
      </c>
      <c r="O62" s="56">
        <v>1.0</v>
      </c>
      <c r="P62" s="56">
        <v>0.0</v>
      </c>
      <c r="Q62" s="56">
        <v>-1.0</v>
      </c>
      <c r="R62" s="59">
        <v>-1.0</v>
      </c>
      <c r="S62" s="60">
        <v>0.0</v>
      </c>
      <c r="T62" s="56">
        <v>54.0</v>
      </c>
      <c r="U62" s="56">
        <v>6.0</v>
      </c>
      <c r="V62" s="56">
        <v>3.0</v>
      </c>
      <c r="W62" s="56">
        <v>-3.0</v>
      </c>
      <c r="X62" s="59">
        <v>-0.5</v>
      </c>
      <c r="Y62" s="60">
        <v>1.0563008344776592</v>
      </c>
      <c r="Z62" s="56">
        <v>55.0</v>
      </c>
      <c r="AA62" s="56" t="s">
        <v>176</v>
      </c>
      <c r="AB62" s="56" t="s">
        <v>176</v>
      </c>
      <c r="AC62" s="56" t="str">
        <f t="shared" si="7"/>
        <v>-</v>
      </c>
      <c r="AD62" s="56" t="str">
        <f>VLOOKUP(C62,'1_Ранг лучших динамика'!D:R,'1_Ранг лучших динамика'!Q$9,FALSE)</f>
        <v>#N/A</v>
      </c>
    </row>
    <row r="63" ht="16.5" customHeight="1">
      <c r="A63" s="38"/>
      <c r="B63" s="56">
        <f t="shared" si="8"/>
        <v>56</v>
      </c>
      <c r="C63" s="80" t="s">
        <v>95</v>
      </c>
      <c r="D63" s="58">
        <v>2063.0</v>
      </c>
      <c r="E63" s="56">
        <v>0.0</v>
      </c>
      <c r="F63" s="56">
        <v>0.0</v>
      </c>
      <c r="G63" s="56">
        <v>0.0</v>
      </c>
      <c r="H63" s="59" t="s">
        <v>41</v>
      </c>
      <c r="I63" s="56">
        <v>47.0</v>
      </c>
      <c r="J63" s="56">
        <v>0.0</v>
      </c>
      <c r="K63" s="56">
        <v>0.0</v>
      </c>
      <c r="L63" s="56">
        <v>0.0</v>
      </c>
      <c r="M63" s="59" t="s">
        <v>41</v>
      </c>
      <c r="N63" s="56">
        <v>38.0</v>
      </c>
      <c r="O63" s="56">
        <v>0.0</v>
      </c>
      <c r="P63" s="56">
        <v>0.0</v>
      </c>
      <c r="Q63" s="56">
        <v>0.0</v>
      </c>
      <c r="R63" s="59" t="s">
        <v>41</v>
      </c>
      <c r="S63" s="60">
        <v>0.0</v>
      </c>
      <c r="T63" s="56">
        <v>54.0</v>
      </c>
      <c r="U63" s="56">
        <v>0.0</v>
      </c>
      <c r="V63" s="56">
        <v>0.0</v>
      </c>
      <c r="W63" s="56">
        <v>0.0</v>
      </c>
      <c r="X63" s="59" t="s">
        <v>41</v>
      </c>
      <c r="Y63" s="60">
        <v>0.0</v>
      </c>
      <c r="Z63" s="56">
        <v>56.0</v>
      </c>
      <c r="AA63" s="56" t="s">
        <v>176</v>
      </c>
      <c r="AB63" s="56" t="s">
        <v>176</v>
      </c>
      <c r="AC63" s="56" t="str">
        <f t="shared" si="7"/>
        <v>-</v>
      </c>
      <c r="AD63" s="56" t="str">
        <f>VLOOKUP(C63,'1_Ранг лучших динамика'!D:R,'1_Ранг лучших динамика'!Q$9,FALSE)</f>
        <v>#N/A</v>
      </c>
    </row>
    <row r="64" ht="16.5" customHeight="1">
      <c r="A64" s="38"/>
      <c r="B64" s="39"/>
      <c r="C64" s="65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8"/>
    </row>
    <row r="65" ht="16.5" customHeight="1">
      <c r="A65" s="38"/>
      <c r="B65" s="39"/>
      <c r="C65" s="65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8"/>
    </row>
    <row r="66" ht="16.5" customHeight="1">
      <c r="A66" s="38"/>
      <c r="B66" s="39"/>
      <c r="C66" s="65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8"/>
    </row>
    <row r="67" ht="16.5" customHeight="1">
      <c r="A67" s="38"/>
      <c r="B67" s="39"/>
      <c r="C67" s="65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8"/>
    </row>
    <row r="68" ht="16.5" customHeight="1">
      <c r="A68" s="38"/>
      <c r="B68" s="39"/>
      <c r="C68" s="65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8"/>
    </row>
    <row r="69" ht="16.5" customHeight="1">
      <c r="A69" s="38"/>
      <c r="B69" s="39"/>
      <c r="C69" s="65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8"/>
    </row>
    <row r="70" ht="16.5" customHeight="1">
      <c r="A70" s="38"/>
      <c r="B70" s="39"/>
      <c r="C70" s="65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8"/>
    </row>
    <row r="71" ht="16.5" customHeight="1">
      <c r="A71" s="38"/>
      <c r="B71" s="39"/>
      <c r="C71" s="65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8"/>
    </row>
    <row r="72" ht="16.5" customHeight="1">
      <c r="A72" s="38"/>
      <c r="B72" s="39"/>
      <c r="C72" s="65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8"/>
    </row>
    <row r="73" ht="16.5" customHeight="1">
      <c r="A73" s="38"/>
      <c r="B73" s="39"/>
      <c r="C73" s="65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8"/>
    </row>
    <row r="74" ht="16.5" customHeight="1">
      <c r="A74" s="38"/>
      <c r="B74" s="39"/>
      <c r="C74" s="65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8"/>
    </row>
    <row r="75" ht="16.5" customHeight="1">
      <c r="A75" s="38"/>
      <c r="B75" s="39"/>
      <c r="C75" s="65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8"/>
    </row>
    <row r="76" ht="16.5" customHeight="1">
      <c r="A76" s="38"/>
      <c r="B76" s="39"/>
      <c r="C76" s="65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8"/>
    </row>
    <row r="77" ht="16.5" customHeight="1">
      <c r="A77" s="38"/>
      <c r="B77" s="39"/>
      <c r="C77" s="65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8"/>
    </row>
    <row r="78" ht="16.5" customHeight="1">
      <c r="A78" s="38"/>
      <c r="B78" s="39"/>
      <c r="C78" s="65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8"/>
    </row>
    <row r="79" ht="16.5" customHeight="1">
      <c r="A79" s="38"/>
      <c r="B79" s="39"/>
      <c r="C79" s="65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8"/>
    </row>
    <row r="80" ht="16.5" customHeight="1">
      <c r="A80" s="38"/>
      <c r="B80" s="39"/>
      <c r="C80" s="65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8"/>
    </row>
    <row r="81" ht="16.5" customHeight="1">
      <c r="A81" s="38"/>
      <c r="B81" s="39"/>
      <c r="C81" s="65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8"/>
    </row>
    <row r="82" ht="16.5" customHeight="1">
      <c r="A82" s="38"/>
      <c r="B82" s="39"/>
      <c r="C82" s="65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8"/>
    </row>
    <row r="83" ht="16.5" customHeight="1">
      <c r="A83" s="38"/>
      <c r="B83" s="39"/>
      <c r="C83" s="65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8"/>
    </row>
    <row r="84" ht="16.5" customHeight="1">
      <c r="A84" s="38"/>
      <c r="B84" s="39"/>
      <c r="C84" s="65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8"/>
    </row>
    <row r="85" ht="16.5" customHeight="1">
      <c r="A85" s="38"/>
      <c r="B85" s="39"/>
      <c r="C85" s="65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8"/>
    </row>
    <row r="86" ht="16.5" customHeight="1">
      <c r="A86" s="38"/>
      <c r="B86" s="39"/>
      <c r="C86" s="65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8"/>
    </row>
    <row r="87" ht="16.5" customHeight="1">
      <c r="A87" s="38"/>
      <c r="B87" s="39"/>
      <c r="C87" s="65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8"/>
    </row>
    <row r="88" ht="16.5" customHeight="1">
      <c r="A88" s="38"/>
      <c r="B88" s="39"/>
      <c r="C88" s="65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8"/>
    </row>
    <row r="89" ht="16.5" customHeight="1">
      <c r="A89" s="38"/>
      <c r="B89" s="39"/>
      <c r="C89" s="65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8"/>
    </row>
    <row r="90" ht="16.5" customHeight="1">
      <c r="A90" s="38"/>
      <c r="B90" s="39"/>
      <c r="C90" s="65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8"/>
    </row>
    <row r="91" ht="16.5" customHeight="1">
      <c r="A91" s="38"/>
      <c r="B91" s="39"/>
      <c r="C91" s="65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8"/>
    </row>
    <row r="92" ht="16.5" customHeight="1">
      <c r="A92" s="38"/>
      <c r="B92" s="39"/>
      <c r="C92" s="65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8"/>
    </row>
    <row r="93" ht="16.5" customHeight="1">
      <c r="A93" s="38"/>
      <c r="B93" s="39"/>
      <c r="C93" s="65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8"/>
    </row>
    <row r="94" ht="16.5" customHeight="1">
      <c r="A94" s="38"/>
      <c r="B94" s="39"/>
      <c r="C94" s="65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8"/>
    </row>
    <row r="95" ht="16.5" customHeight="1">
      <c r="A95" s="38"/>
      <c r="B95" s="39"/>
      <c r="C95" s="65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8"/>
    </row>
    <row r="96" ht="16.5" customHeight="1">
      <c r="A96" s="38"/>
      <c r="B96" s="39"/>
      <c r="C96" s="65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8"/>
    </row>
    <row r="97" ht="16.5" customHeight="1">
      <c r="A97" s="38"/>
      <c r="B97" s="39"/>
      <c r="C97" s="65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8"/>
    </row>
    <row r="98" ht="16.5" customHeight="1">
      <c r="A98" s="38"/>
      <c r="B98" s="39"/>
      <c r="C98" s="65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8"/>
    </row>
    <row r="99" ht="16.5" customHeight="1">
      <c r="A99" s="38"/>
      <c r="B99" s="39"/>
      <c r="C99" s="65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8"/>
    </row>
    <row r="100" ht="16.5" customHeight="1">
      <c r="A100" s="38"/>
      <c r="B100" s="39"/>
      <c r="C100" s="65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8"/>
    </row>
    <row r="101" ht="16.5" customHeight="1">
      <c r="A101" s="38"/>
      <c r="B101" s="39"/>
      <c r="C101" s="65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8"/>
    </row>
    <row r="102" ht="16.5" customHeight="1">
      <c r="A102" s="38"/>
      <c r="B102" s="39"/>
      <c r="C102" s="65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8"/>
    </row>
    <row r="103" ht="16.5" customHeight="1">
      <c r="A103" s="38"/>
      <c r="B103" s="39"/>
      <c r="C103" s="65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8"/>
    </row>
    <row r="104" ht="16.5" customHeight="1">
      <c r="A104" s="38"/>
      <c r="B104" s="39"/>
      <c r="C104" s="65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8"/>
    </row>
    <row r="105" ht="16.5" customHeight="1">
      <c r="A105" s="38"/>
      <c r="B105" s="39"/>
      <c r="C105" s="65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8"/>
    </row>
    <row r="106" ht="16.5" customHeight="1">
      <c r="A106" s="38"/>
      <c r="B106" s="39"/>
      <c r="C106" s="65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8"/>
    </row>
    <row r="107" ht="16.5" customHeight="1">
      <c r="A107" s="38"/>
      <c r="B107" s="39"/>
      <c r="C107" s="65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8"/>
    </row>
    <row r="108" ht="16.5" customHeight="1">
      <c r="A108" s="38"/>
      <c r="B108" s="39"/>
      <c r="C108" s="65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8"/>
    </row>
    <row r="109" ht="16.5" customHeight="1">
      <c r="A109" s="38"/>
      <c r="B109" s="39"/>
      <c r="C109" s="65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8"/>
    </row>
    <row r="110" ht="16.5" customHeight="1">
      <c r="A110" s="38"/>
      <c r="B110" s="39"/>
      <c r="C110" s="65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8"/>
    </row>
    <row r="111" ht="16.5" customHeight="1">
      <c r="A111" s="38"/>
      <c r="B111" s="39"/>
      <c r="C111" s="65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8"/>
    </row>
    <row r="112" ht="16.5" customHeight="1">
      <c r="A112" s="38"/>
      <c r="B112" s="39"/>
      <c r="C112" s="65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8"/>
    </row>
    <row r="113" ht="16.5" customHeight="1">
      <c r="A113" s="38"/>
      <c r="B113" s="39"/>
      <c r="C113" s="65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8"/>
    </row>
    <row r="114" ht="16.5" customHeight="1">
      <c r="A114" s="38"/>
      <c r="B114" s="39"/>
      <c r="C114" s="65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8"/>
    </row>
    <row r="115" ht="16.5" customHeight="1">
      <c r="A115" s="38"/>
      <c r="B115" s="39"/>
      <c r="C115" s="65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8"/>
    </row>
    <row r="116" ht="16.5" customHeight="1">
      <c r="A116" s="38"/>
      <c r="B116" s="39"/>
      <c r="C116" s="65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8"/>
    </row>
    <row r="117" ht="16.5" customHeight="1">
      <c r="A117" s="38"/>
      <c r="B117" s="39"/>
      <c r="C117" s="65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8"/>
    </row>
    <row r="118" ht="16.5" customHeight="1">
      <c r="A118" s="38"/>
      <c r="B118" s="39"/>
      <c r="C118" s="65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8"/>
    </row>
    <row r="119" ht="16.5" customHeight="1">
      <c r="A119" s="38"/>
      <c r="B119" s="39"/>
      <c r="C119" s="65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8"/>
    </row>
    <row r="120" ht="16.5" customHeight="1">
      <c r="A120" s="38"/>
      <c r="B120" s="39"/>
      <c r="C120" s="65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8"/>
    </row>
    <row r="121" ht="16.5" customHeight="1">
      <c r="A121" s="38"/>
      <c r="B121" s="39"/>
      <c r="C121" s="65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8"/>
    </row>
    <row r="122" ht="16.5" customHeight="1">
      <c r="A122" s="38"/>
      <c r="B122" s="39"/>
      <c r="C122" s="65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8"/>
    </row>
    <row r="123" ht="16.5" customHeight="1">
      <c r="A123" s="38"/>
      <c r="B123" s="39"/>
      <c r="C123" s="65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8"/>
    </row>
    <row r="124" ht="16.5" customHeight="1">
      <c r="A124" s="38"/>
      <c r="B124" s="39"/>
      <c r="C124" s="6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8"/>
    </row>
    <row r="125" ht="16.5" customHeight="1">
      <c r="A125" s="38"/>
      <c r="B125" s="39"/>
      <c r="C125" s="65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8"/>
    </row>
    <row r="126" ht="16.5" customHeight="1">
      <c r="A126" s="38"/>
      <c r="B126" s="39"/>
      <c r="C126" s="6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8"/>
    </row>
    <row r="127" ht="16.5" customHeight="1">
      <c r="A127" s="38"/>
      <c r="B127" s="39"/>
      <c r="C127" s="65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8"/>
    </row>
    <row r="128" ht="16.5" customHeight="1">
      <c r="A128" s="38"/>
      <c r="B128" s="39"/>
      <c r="C128" s="65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8"/>
    </row>
    <row r="129" ht="16.5" customHeight="1">
      <c r="A129" s="38"/>
      <c r="B129" s="39"/>
      <c r="C129" s="65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8"/>
    </row>
    <row r="130" ht="16.5" customHeight="1">
      <c r="A130" s="38"/>
      <c r="B130" s="39"/>
      <c r="C130" s="65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8"/>
    </row>
    <row r="131" ht="16.5" customHeight="1">
      <c r="A131" s="38"/>
      <c r="B131" s="39"/>
      <c r="C131" s="65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8"/>
    </row>
    <row r="132" ht="16.5" customHeight="1">
      <c r="A132" s="38"/>
      <c r="B132" s="39"/>
      <c r="C132" s="65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8"/>
    </row>
    <row r="133" ht="16.5" customHeight="1">
      <c r="A133" s="38"/>
      <c r="B133" s="39"/>
      <c r="C133" s="65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8"/>
    </row>
    <row r="134" ht="16.5" customHeight="1">
      <c r="A134" s="38"/>
      <c r="B134" s="39"/>
      <c r="C134" s="65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8"/>
    </row>
    <row r="135" ht="16.5" customHeight="1">
      <c r="A135" s="38"/>
      <c r="B135" s="39"/>
      <c r="C135" s="65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8"/>
    </row>
    <row r="136" ht="16.5" customHeight="1">
      <c r="A136" s="38"/>
      <c r="B136" s="39"/>
      <c r="C136" s="65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8"/>
    </row>
    <row r="137" ht="16.5" customHeight="1">
      <c r="A137" s="38"/>
      <c r="B137" s="39"/>
      <c r="C137" s="65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8"/>
    </row>
    <row r="138" ht="16.5" customHeight="1">
      <c r="A138" s="38"/>
      <c r="B138" s="39"/>
      <c r="C138" s="65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8"/>
    </row>
    <row r="139" ht="16.5" customHeight="1">
      <c r="A139" s="38"/>
      <c r="B139" s="39"/>
      <c r="C139" s="65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8"/>
    </row>
    <row r="140" ht="16.5" customHeight="1">
      <c r="A140" s="38"/>
      <c r="B140" s="39"/>
      <c r="C140" s="65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8"/>
    </row>
    <row r="141" ht="16.5" customHeight="1">
      <c r="A141" s="38"/>
      <c r="B141" s="39"/>
      <c r="C141" s="65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8"/>
    </row>
    <row r="142" ht="16.5" customHeight="1">
      <c r="A142" s="38"/>
      <c r="B142" s="39"/>
      <c r="C142" s="65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8"/>
    </row>
    <row r="143" ht="16.5" customHeight="1">
      <c r="A143" s="38"/>
      <c r="B143" s="39"/>
      <c r="C143" s="65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8"/>
    </row>
    <row r="144" ht="16.5" customHeight="1">
      <c r="A144" s="38"/>
      <c r="B144" s="39"/>
      <c r="C144" s="65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8"/>
    </row>
    <row r="145" ht="16.5" customHeight="1">
      <c r="A145" s="38"/>
      <c r="B145" s="39"/>
      <c r="C145" s="65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8"/>
    </row>
    <row r="146" ht="16.5" customHeight="1">
      <c r="A146" s="38"/>
      <c r="B146" s="39"/>
      <c r="C146" s="65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8"/>
    </row>
    <row r="147" ht="16.5" customHeight="1">
      <c r="A147" s="38"/>
      <c r="B147" s="39"/>
      <c r="C147" s="65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8"/>
    </row>
    <row r="148" ht="16.5" customHeight="1">
      <c r="A148" s="38"/>
      <c r="B148" s="39"/>
      <c r="C148" s="65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8"/>
    </row>
    <row r="149" ht="16.5" customHeight="1">
      <c r="A149" s="38"/>
      <c r="B149" s="39"/>
      <c r="C149" s="65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8"/>
    </row>
    <row r="150" ht="16.5" customHeight="1">
      <c r="A150" s="38"/>
      <c r="B150" s="39"/>
      <c r="C150" s="65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8"/>
    </row>
    <row r="151" ht="16.5" customHeight="1">
      <c r="A151" s="38"/>
      <c r="B151" s="39"/>
      <c r="C151" s="65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8"/>
    </row>
    <row r="152" ht="16.5" customHeight="1">
      <c r="A152" s="38"/>
      <c r="B152" s="39"/>
      <c r="C152" s="65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8"/>
    </row>
    <row r="153" ht="16.5" customHeight="1">
      <c r="A153" s="38"/>
      <c r="B153" s="39"/>
      <c r="C153" s="65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8"/>
    </row>
    <row r="154" ht="16.5" customHeight="1">
      <c r="A154" s="38"/>
      <c r="B154" s="39"/>
      <c r="C154" s="65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8"/>
    </row>
    <row r="155" ht="16.5" customHeight="1">
      <c r="A155" s="38"/>
      <c r="B155" s="39"/>
      <c r="C155" s="65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8"/>
    </row>
    <row r="156" ht="16.5" customHeight="1">
      <c r="A156" s="38"/>
      <c r="B156" s="39"/>
      <c r="C156" s="65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8"/>
    </row>
    <row r="157" ht="16.5" customHeight="1">
      <c r="A157" s="38"/>
      <c r="B157" s="39"/>
      <c r="C157" s="65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8"/>
    </row>
    <row r="158" ht="16.5" customHeight="1">
      <c r="A158" s="38"/>
      <c r="B158" s="39"/>
      <c r="C158" s="65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8"/>
    </row>
    <row r="159" ht="16.5" customHeight="1">
      <c r="A159" s="38"/>
      <c r="B159" s="39"/>
      <c r="C159" s="65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8"/>
    </row>
    <row r="160" ht="16.5" customHeight="1">
      <c r="A160" s="38"/>
      <c r="B160" s="39"/>
      <c r="C160" s="65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8"/>
    </row>
    <row r="161" ht="16.5" customHeight="1">
      <c r="A161" s="38"/>
      <c r="B161" s="39"/>
      <c r="C161" s="65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8"/>
    </row>
    <row r="162" ht="16.5" customHeight="1">
      <c r="A162" s="38"/>
      <c r="B162" s="39"/>
      <c r="C162" s="65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8"/>
    </row>
    <row r="163" ht="16.5" customHeight="1">
      <c r="A163" s="38"/>
      <c r="B163" s="39"/>
      <c r="C163" s="65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8"/>
    </row>
    <row r="164" ht="16.5" customHeight="1">
      <c r="A164" s="38"/>
      <c r="B164" s="39"/>
      <c r="C164" s="65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8"/>
    </row>
    <row r="165" ht="16.5" customHeight="1">
      <c r="A165" s="38"/>
      <c r="B165" s="39"/>
      <c r="C165" s="65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8"/>
    </row>
    <row r="166" ht="16.5" customHeight="1">
      <c r="A166" s="38"/>
      <c r="B166" s="39"/>
      <c r="C166" s="65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8"/>
    </row>
    <row r="167" ht="16.5" customHeight="1">
      <c r="A167" s="38"/>
      <c r="B167" s="39"/>
      <c r="C167" s="65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8"/>
    </row>
    <row r="168" ht="16.5" customHeight="1">
      <c r="A168" s="38"/>
      <c r="B168" s="39"/>
      <c r="C168" s="65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8"/>
    </row>
    <row r="169" ht="16.5" customHeight="1">
      <c r="A169" s="38"/>
      <c r="B169" s="39"/>
      <c r="C169" s="65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8"/>
    </row>
    <row r="170" ht="16.5" customHeight="1">
      <c r="A170" s="38"/>
      <c r="B170" s="39"/>
      <c r="C170" s="65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8"/>
    </row>
    <row r="171" ht="16.5" customHeight="1">
      <c r="A171" s="38"/>
      <c r="B171" s="39"/>
      <c r="C171" s="65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8"/>
    </row>
    <row r="172" ht="16.5" customHeight="1">
      <c r="A172" s="38"/>
      <c r="B172" s="39"/>
      <c r="C172" s="65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8"/>
    </row>
    <row r="173" ht="16.5" customHeight="1">
      <c r="A173" s="38"/>
      <c r="B173" s="39"/>
      <c r="C173" s="65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8"/>
    </row>
    <row r="174" ht="16.5" customHeight="1">
      <c r="A174" s="38"/>
      <c r="B174" s="39"/>
      <c r="C174" s="65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8"/>
    </row>
    <row r="175" ht="16.5" customHeight="1">
      <c r="A175" s="38"/>
      <c r="B175" s="39"/>
      <c r="C175" s="65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8"/>
    </row>
    <row r="176" ht="16.5" customHeight="1">
      <c r="A176" s="38"/>
      <c r="B176" s="39"/>
      <c r="C176" s="65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8"/>
    </row>
    <row r="177" ht="16.5" customHeight="1">
      <c r="A177" s="38"/>
      <c r="B177" s="39"/>
      <c r="C177" s="65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8"/>
    </row>
    <row r="178" ht="16.5" customHeight="1">
      <c r="A178" s="38"/>
      <c r="B178" s="39"/>
      <c r="C178" s="65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8"/>
    </row>
    <row r="179" ht="16.5" customHeight="1">
      <c r="A179" s="38"/>
      <c r="B179" s="39"/>
      <c r="C179" s="65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8"/>
    </row>
    <row r="180" ht="16.5" customHeight="1">
      <c r="A180" s="38"/>
      <c r="B180" s="39"/>
      <c r="C180" s="65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8"/>
    </row>
    <row r="181" ht="16.5" customHeight="1">
      <c r="A181" s="38"/>
      <c r="B181" s="39"/>
      <c r="C181" s="65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8"/>
    </row>
    <row r="182" ht="16.5" customHeight="1">
      <c r="A182" s="38"/>
      <c r="B182" s="39"/>
      <c r="C182" s="65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8"/>
    </row>
    <row r="183" ht="16.5" customHeight="1">
      <c r="A183" s="38"/>
      <c r="B183" s="39"/>
      <c r="C183" s="65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8"/>
    </row>
    <row r="184" ht="16.5" customHeight="1">
      <c r="A184" s="38"/>
      <c r="B184" s="39"/>
      <c r="C184" s="65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8"/>
    </row>
    <row r="185" ht="16.5" customHeight="1">
      <c r="A185" s="38"/>
      <c r="B185" s="39"/>
      <c r="C185" s="65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8"/>
    </row>
    <row r="186" ht="16.5" customHeight="1">
      <c r="A186" s="38"/>
      <c r="B186" s="39"/>
      <c r="C186" s="65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8"/>
    </row>
    <row r="187" ht="16.5" customHeight="1">
      <c r="A187" s="38"/>
      <c r="B187" s="39"/>
      <c r="C187" s="65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8"/>
    </row>
    <row r="188" ht="16.5" customHeight="1">
      <c r="A188" s="38"/>
      <c r="B188" s="39"/>
      <c r="C188" s="65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8"/>
    </row>
    <row r="189" ht="16.5" customHeight="1">
      <c r="A189" s="38"/>
      <c r="B189" s="39"/>
      <c r="C189" s="65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8"/>
    </row>
    <row r="190" ht="16.5" customHeight="1">
      <c r="A190" s="38"/>
      <c r="B190" s="39"/>
      <c r="C190" s="65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8"/>
    </row>
    <row r="191" ht="16.5" customHeight="1">
      <c r="A191" s="38"/>
      <c r="B191" s="39"/>
      <c r="C191" s="65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8"/>
    </row>
    <row r="192" ht="16.5" customHeight="1">
      <c r="A192" s="38"/>
      <c r="B192" s="39"/>
      <c r="C192" s="65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8"/>
    </row>
    <row r="193" ht="16.5" customHeight="1">
      <c r="A193" s="38"/>
      <c r="B193" s="39"/>
      <c r="C193" s="65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8"/>
    </row>
    <row r="194" ht="16.5" customHeight="1">
      <c r="A194" s="38"/>
      <c r="B194" s="39"/>
      <c r="C194" s="65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8"/>
    </row>
    <row r="195" ht="16.5" customHeight="1">
      <c r="A195" s="38"/>
      <c r="B195" s="39"/>
      <c r="C195" s="65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8"/>
    </row>
    <row r="196" ht="16.5" customHeight="1">
      <c r="A196" s="38"/>
      <c r="B196" s="39"/>
      <c r="C196" s="65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8"/>
    </row>
    <row r="197" ht="16.5" customHeight="1">
      <c r="A197" s="38"/>
      <c r="B197" s="39"/>
      <c r="C197" s="65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8"/>
    </row>
    <row r="198" ht="16.5" customHeight="1">
      <c r="A198" s="38"/>
      <c r="B198" s="39"/>
      <c r="C198" s="65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8"/>
    </row>
    <row r="199" ht="16.5" customHeight="1">
      <c r="A199" s="38"/>
      <c r="B199" s="39"/>
      <c r="C199" s="65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8"/>
    </row>
    <row r="200" ht="16.5" customHeight="1">
      <c r="A200" s="38"/>
      <c r="B200" s="39"/>
      <c r="C200" s="65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8"/>
    </row>
    <row r="201" ht="16.5" customHeight="1">
      <c r="A201" s="38"/>
      <c r="B201" s="39"/>
      <c r="C201" s="65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8"/>
    </row>
    <row r="202" ht="16.5" customHeight="1">
      <c r="A202" s="38"/>
      <c r="B202" s="39"/>
      <c r="C202" s="65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8"/>
    </row>
    <row r="203" ht="16.5" customHeight="1">
      <c r="A203" s="38"/>
      <c r="B203" s="39"/>
      <c r="C203" s="65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8"/>
    </row>
    <row r="204" ht="16.5" customHeight="1">
      <c r="A204" s="38"/>
      <c r="B204" s="39"/>
      <c r="C204" s="65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8"/>
    </row>
    <row r="205" ht="16.5" customHeight="1">
      <c r="A205" s="38"/>
      <c r="B205" s="39"/>
      <c r="C205" s="65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8"/>
    </row>
    <row r="206" ht="16.5" customHeight="1">
      <c r="A206" s="38"/>
      <c r="B206" s="39"/>
      <c r="C206" s="65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8"/>
    </row>
    <row r="207" ht="16.5" customHeight="1">
      <c r="A207" s="38"/>
      <c r="B207" s="39"/>
      <c r="C207" s="65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8"/>
    </row>
    <row r="208" ht="16.5" customHeight="1">
      <c r="A208" s="38"/>
      <c r="B208" s="39"/>
      <c r="C208" s="65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8"/>
    </row>
    <row r="209" ht="16.5" customHeight="1">
      <c r="A209" s="38"/>
      <c r="B209" s="39"/>
      <c r="C209" s="65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8"/>
    </row>
    <row r="210" ht="16.5" customHeight="1">
      <c r="A210" s="38"/>
      <c r="B210" s="39"/>
      <c r="C210" s="65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8"/>
    </row>
    <row r="211" ht="16.5" customHeight="1">
      <c r="A211" s="38"/>
      <c r="B211" s="39"/>
      <c r="C211" s="65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8"/>
    </row>
    <row r="212" ht="16.5" customHeight="1">
      <c r="A212" s="38"/>
      <c r="B212" s="39"/>
      <c r="C212" s="65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8"/>
    </row>
    <row r="213" ht="16.5" customHeight="1">
      <c r="A213" s="38"/>
      <c r="B213" s="39"/>
      <c r="C213" s="6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8"/>
    </row>
    <row r="214" ht="16.5" customHeight="1">
      <c r="A214" s="38"/>
      <c r="B214" s="39"/>
      <c r="C214" s="65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8"/>
    </row>
    <row r="215" ht="16.5" customHeight="1">
      <c r="A215" s="38"/>
      <c r="B215" s="39"/>
      <c r="C215" s="6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8"/>
    </row>
    <row r="216" ht="16.5" customHeight="1">
      <c r="A216" s="38"/>
      <c r="B216" s="39"/>
      <c r="C216" s="65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8"/>
    </row>
    <row r="217" ht="16.5" customHeight="1">
      <c r="A217" s="38"/>
      <c r="B217" s="39"/>
      <c r="C217" s="65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8"/>
    </row>
    <row r="218" ht="16.5" customHeight="1">
      <c r="A218" s="38"/>
      <c r="B218" s="39"/>
      <c r="C218" s="65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8"/>
    </row>
    <row r="219" ht="16.5" customHeight="1">
      <c r="A219" s="38"/>
      <c r="B219" s="39"/>
      <c r="C219" s="65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8"/>
    </row>
    <row r="220" ht="16.5" customHeight="1">
      <c r="A220" s="38"/>
      <c r="B220" s="39"/>
      <c r="C220" s="65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8"/>
    </row>
    <row r="221" ht="16.5" customHeight="1">
      <c r="A221" s="38"/>
      <c r="B221" s="39"/>
      <c r="C221" s="65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8"/>
    </row>
    <row r="222" ht="16.5" customHeight="1">
      <c r="A222" s="38"/>
      <c r="B222" s="39"/>
      <c r="C222" s="65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8"/>
    </row>
    <row r="223" ht="16.5" customHeight="1">
      <c r="A223" s="38"/>
      <c r="B223" s="39"/>
      <c r="C223" s="65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8"/>
    </row>
    <row r="224" ht="16.5" customHeight="1">
      <c r="A224" s="38"/>
      <c r="B224" s="39"/>
      <c r="C224" s="65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8"/>
    </row>
    <row r="225" ht="16.5" customHeight="1">
      <c r="A225" s="38"/>
      <c r="B225" s="39"/>
      <c r="C225" s="65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8"/>
    </row>
    <row r="226" ht="16.5" customHeight="1">
      <c r="A226" s="38"/>
      <c r="B226" s="39"/>
      <c r="C226" s="65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8"/>
    </row>
    <row r="227" ht="16.5" customHeight="1">
      <c r="A227" s="38"/>
      <c r="B227" s="39"/>
      <c r="C227" s="65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8"/>
    </row>
    <row r="228" ht="16.5" customHeight="1">
      <c r="A228" s="38"/>
      <c r="B228" s="39"/>
      <c r="C228" s="65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8"/>
    </row>
    <row r="229" ht="16.5" customHeight="1">
      <c r="A229" s="38"/>
      <c r="B229" s="39"/>
      <c r="C229" s="65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8"/>
    </row>
    <row r="230" ht="16.5" customHeight="1">
      <c r="A230" s="38"/>
      <c r="B230" s="39"/>
      <c r="C230" s="65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8"/>
    </row>
    <row r="231" ht="16.5" customHeight="1">
      <c r="A231" s="38"/>
      <c r="B231" s="39"/>
      <c r="C231" s="65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8"/>
    </row>
    <row r="232" ht="16.5" customHeight="1">
      <c r="A232" s="38"/>
      <c r="B232" s="39"/>
      <c r="C232" s="65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8"/>
    </row>
    <row r="233" ht="16.5" customHeight="1">
      <c r="A233" s="38"/>
      <c r="B233" s="39"/>
      <c r="C233" s="65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8"/>
    </row>
    <row r="234" ht="16.5" customHeight="1">
      <c r="A234" s="38"/>
      <c r="B234" s="39"/>
      <c r="C234" s="65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8"/>
    </row>
    <row r="235" ht="16.5" customHeight="1">
      <c r="A235" s="38"/>
      <c r="B235" s="39"/>
      <c r="C235" s="65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8"/>
    </row>
    <row r="236" ht="16.5" customHeight="1">
      <c r="A236" s="38"/>
      <c r="B236" s="39"/>
      <c r="C236" s="65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8"/>
    </row>
    <row r="237" ht="16.5" customHeight="1">
      <c r="A237" s="38"/>
      <c r="B237" s="39"/>
      <c r="C237" s="65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8"/>
    </row>
    <row r="238" ht="16.5" customHeight="1">
      <c r="A238" s="38"/>
      <c r="B238" s="39"/>
      <c r="C238" s="65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8"/>
    </row>
    <row r="239" ht="16.5" customHeight="1">
      <c r="A239" s="38"/>
      <c r="B239" s="39"/>
      <c r="C239" s="65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8"/>
    </row>
    <row r="240" ht="16.5" customHeight="1">
      <c r="A240" s="38"/>
      <c r="B240" s="39"/>
      <c r="C240" s="65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8"/>
    </row>
    <row r="241" ht="16.5" customHeight="1">
      <c r="A241" s="38"/>
      <c r="B241" s="39"/>
      <c r="C241" s="65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8"/>
    </row>
    <row r="242" ht="16.5" customHeight="1">
      <c r="A242" s="38"/>
      <c r="B242" s="39"/>
      <c r="C242" s="65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8"/>
    </row>
    <row r="243" ht="16.5" customHeight="1">
      <c r="A243" s="38"/>
      <c r="B243" s="39"/>
      <c r="C243" s="65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8"/>
    </row>
    <row r="244" ht="16.5" customHeight="1">
      <c r="A244" s="38"/>
      <c r="B244" s="39"/>
      <c r="C244" s="65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8"/>
    </row>
    <row r="245" ht="16.5" customHeight="1">
      <c r="A245" s="38"/>
      <c r="B245" s="39"/>
      <c r="C245" s="65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8"/>
    </row>
    <row r="246" ht="16.5" customHeight="1">
      <c r="A246" s="38"/>
      <c r="B246" s="39"/>
      <c r="C246" s="65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8"/>
    </row>
    <row r="247" ht="16.5" customHeight="1">
      <c r="A247" s="38"/>
      <c r="B247" s="39"/>
      <c r="C247" s="65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8"/>
    </row>
    <row r="248" ht="16.5" customHeight="1">
      <c r="A248" s="38"/>
      <c r="B248" s="39"/>
      <c r="C248" s="65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8"/>
    </row>
    <row r="249" ht="16.5" customHeight="1">
      <c r="A249" s="38"/>
      <c r="B249" s="39"/>
      <c r="C249" s="65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8"/>
    </row>
    <row r="250" ht="16.5" customHeight="1">
      <c r="A250" s="38"/>
      <c r="B250" s="39"/>
      <c r="C250" s="65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8"/>
    </row>
    <row r="251" ht="16.5" customHeight="1">
      <c r="A251" s="38"/>
      <c r="B251" s="39"/>
      <c r="C251" s="65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8"/>
    </row>
    <row r="252" ht="16.5" customHeight="1">
      <c r="A252" s="38"/>
      <c r="B252" s="39"/>
      <c r="C252" s="65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8"/>
    </row>
    <row r="253" ht="16.5" customHeight="1">
      <c r="A253" s="38"/>
      <c r="B253" s="39"/>
      <c r="C253" s="65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8"/>
    </row>
    <row r="254" ht="16.5" customHeight="1">
      <c r="A254" s="38"/>
      <c r="B254" s="39"/>
      <c r="C254" s="65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8"/>
    </row>
    <row r="255" ht="16.5" customHeight="1">
      <c r="A255" s="38"/>
      <c r="B255" s="39"/>
      <c r="C255" s="65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8"/>
    </row>
    <row r="256" ht="16.5" customHeight="1">
      <c r="A256" s="38"/>
      <c r="B256" s="39"/>
      <c r="C256" s="65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8"/>
    </row>
    <row r="257" ht="16.5" customHeight="1">
      <c r="A257" s="38"/>
      <c r="B257" s="39"/>
      <c r="C257" s="65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8"/>
    </row>
    <row r="258" ht="16.5" customHeight="1">
      <c r="A258" s="38"/>
      <c r="B258" s="39"/>
      <c r="C258" s="65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8"/>
    </row>
    <row r="259" ht="16.5" customHeight="1">
      <c r="A259" s="38"/>
      <c r="B259" s="39"/>
      <c r="C259" s="65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8"/>
    </row>
    <row r="260" ht="16.5" customHeight="1">
      <c r="A260" s="38"/>
      <c r="B260" s="39"/>
      <c r="C260" s="65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8"/>
    </row>
    <row r="261" ht="16.5" customHeight="1">
      <c r="A261" s="38"/>
      <c r="B261" s="39"/>
      <c r="C261" s="65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8"/>
    </row>
    <row r="262" ht="16.5" customHeight="1">
      <c r="A262" s="38"/>
      <c r="B262" s="39"/>
      <c r="C262" s="65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8"/>
    </row>
    <row r="263" ht="16.5" customHeight="1">
      <c r="A263" s="38"/>
      <c r="B263" s="39"/>
      <c r="C263" s="65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8"/>
    </row>
    <row r="264" ht="16.5" customHeight="1">
      <c r="A264" s="38"/>
      <c r="B264" s="39"/>
      <c r="C264" s="65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8"/>
    </row>
    <row r="265" ht="16.5" customHeight="1">
      <c r="A265" s="38"/>
      <c r="B265" s="39"/>
      <c r="C265" s="65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8"/>
    </row>
    <row r="266" ht="16.5" customHeight="1">
      <c r="A266" s="38"/>
      <c r="B266" s="39"/>
      <c r="C266" s="65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8"/>
    </row>
    <row r="267" ht="16.5" customHeight="1">
      <c r="A267" s="38"/>
      <c r="B267" s="39"/>
      <c r="C267" s="65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8"/>
    </row>
    <row r="268" ht="16.5" customHeight="1">
      <c r="A268" s="38"/>
      <c r="B268" s="39"/>
      <c r="C268" s="65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8"/>
    </row>
    <row r="269" ht="16.5" customHeight="1">
      <c r="A269" s="38"/>
      <c r="B269" s="39"/>
      <c r="C269" s="65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8"/>
    </row>
    <row r="270" ht="16.5" customHeight="1">
      <c r="A270" s="38"/>
      <c r="B270" s="39"/>
      <c r="C270" s="65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8"/>
    </row>
    <row r="271" ht="16.5" customHeight="1">
      <c r="A271" s="38"/>
      <c r="B271" s="39"/>
      <c r="C271" s="65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8"/>
    </row>
    <row r="272" ht="16.5" customHeight="1">
      <c r="A272" s="38"/>
      <c r="B272" s="39"/>
      <c r="C272" s="65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8"/>
    </row>
    <row r="273" ht="16.5" customHeight="1">
      <c r="A273" s="38"/>
      <c r="B273" s="39"/>
      <c r="C273" s="65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8"/>
    </row>
    <row r="274" ht="16.5" customHeight="1">
      <c r="A274" s="38"/>
      <c r="B274" s="39"/>
      <c r="C274" s="65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8"/>
    </row>
    <row r="275" ht="16.5" customHeight="1">
      <c r="A275" s="38"/>
      <c r="B275" s="39"/>
      <c r="C275" s="65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8"/>
    </row>
    <row r="276" ht="16.5" customHeight="1">
      <c r="A276" s="38"/>
      <c r="B276" s="39"/>
      <c r="C276" s="65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8"/>
    </row>
    <row r="277" ht="16.5" customHeight="1">
      <c r="A277" s="38"/>
      <c r="B277" s="39"/>
      <c r="C277" s="65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8"/>
    </row>
    <row r="278" ht="16.5" customHeight="1">
      <c r="A278" s="38"/>
      <c r="B278" s="39"/>
      <c r="C278" s="65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8"/>
    </row>
    <row r="279" ht="16.5" customHeight="1">
      <c r="A279" s="38"/>
      <c r="B279" s="39"/>
      <c r="C279" s="65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8"/>
    </row>
    <row r="280" ht="16.5" customHeight="1">
      <c r="A280" s="38"/>
      <c r="B280" s="39"/>
      <c r="C280" s="65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8"/>
    </row>
    <row r="281" ht="16.5" customHeight="1">
      <c r="A281" s="38"/>
      <c r="B281" s="39"/>
      <c r="C281" s="65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8"/>
    </row>
    <row r="282" ht="16.5" customHeight="1">
      <c r="A282" s="38"/>
      <c r="B282" s="39"/>
      <c r="C282" s="65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8"/>
    </row>
    <row r="283" ht="16.5" customHeight="1">
      <c r="A283" s="38"/>
      <c r="B283" s="39"/>
      <c r="C283" s="65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8"/>
    </row>
    <row r="284" ht="16.5" customHeight="1">
      <c r="A284" s="38"/>
      <c r="B284" s="39"/>
      <c r="C284" s="65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8"/>
    </row>
    <row r="285" ht="16.5" customHeight="1">
      <c r="A285" s="38"/>
      <c r="B285" s="39"/>
      <c r="C285" s="65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8"/>
    </row>
    <row r="286" ht="16.5" customHeight="1">
      <c r="A286" s="38"/>
      <c r="B286" s="39"/>
      <c r="C286" s="65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8"/>
    </row>
    <row r="287" ht="16.5" customHeight="1">
      <c r="A287" s="38"/>
      <c r="B287" s="39"/>
      <c r="C287" s="65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8"/>
    </row>
    <row r="288" ht="16.5" customHeight="1">
      <c r="A288" s="38"/>
      <c r="B288" s="39"/>
      <c r="C288" s="65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8"/>
    </row>
    <row r="289" ht="16.5" customHeight="1">
      <c r="A289" s="38"/>
      <c r="B289" s="39"/>
      <c r="C289" s="65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8"/>
    </row>
    <row r="290" ht="16.5" customHeight="1">
      <c r="A290" s="38"/>
      <c r="B290" s="39"/>
      <c r="C290" s="65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8"/>
    </row>
    <row r="291" ht="16.5" customHeight="1">
      <c r="A291" s="38"/>
      <c r="B291" s="39"/>
      <c r="C291" s="65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8"/>
    </row>
    <row r="292" ht="16.5" customHeight="1">
      <c r="A292" s="38"/>
      <c r="B292" s="39"/>
      <c r="C292" s="65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8"/>
    </row>
    <row r="293" ht="16.5" customHeight="1">
      <c r="A293" s="38"/>
      <c r="B293" s="39"/>
      <c r="C293" s="65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8"/>
    </row>
    <row r="294" ht="16.5" customHeight="1">
      <c r="A294" s="38"/>
      <c r="B294" s="39"/>
      <c r="C294" s="65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8"/>
    </row>
    <row r="295" ht="16.5" customHeight="1">
      <c r="A295" s="38"/>
      <c r="B295" s="39"/>
      <c r="C295" s="65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8"/>
    </row>
    <row r="296" ht="16.5" customHeight="1">
      <c r="A296" s="38"/>
      <c r="B296" s="39"/>
      <c r="C296" s="65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8"/>
    </row>
    <row r="297" ht="16.5" customHeight="1">
      <c r="A297" s="38"/>
      <c r="B297" s="39"/>
      <c r="C297" s="65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8"/>
    </row>
    <row r="298" ht="16.5" customHeight="1">
      <c r="A298" s="38"/>
      <c r="B298" s="39"/>
      <c r="C298" s="65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8"/>
    </row>
    <row r="299" ht="16.5" customHeight="1">
      <c r="A299" s="38"/>
      <c r="B299" s="39"/>
      <c r="C299" s="65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8"/>
    </row>
    <row r="300" ht="16.5" customHeight="1">
      <c r="A300" s="38"/>
      <c r="B300" s="39"/>
      <c r="C300" s="65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8"/>
    </row>
    <row r="301" ht="16.5" customHeight="1">
      <c r="A301" s="38"/>
      <c r="B301" s="39"/>
      <c r="C301" s="65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8"/>
    </row>
    <row r="302" ht="16.5" customHeight="1">
      <c r="A302" s="38"/>
      <c r="B302" s="39"/>
      <c r="C302" s="65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8"/>
    </row>
    <row r="303" ht="16.5" customHeight="1">
      <c r="A303" s="38"/>
      <c r="B303" s="39"/>
      <c r="C303" s="65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8"/>
    </row>
    <row r="304" ht="16.5" customHeight="1">
      <c r="A304" s="38"/>
      <c r="B304" s="39"/>
      <c r="C304" s="65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8"/>
    </row>
    <row r="305" ht="16.5" customHeight="1">
      <c r="A305" s="38"/>
      <c r="B305" s="39"/>
      <c r="C305" s="65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8"/>
    </row>
    <row r="306" ht="16.5" customHeight="1">
      <c r="A306" s="38"/>
      <c r="B306" s="39"/>
      <c r="C306" s="65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8"/>
    </row>
    <row r="307" ht="16.5" customHeight="1">
      <c r="A307" s="38"/>
      <c r="B307" s="39"/>
      <c r="C307" s="65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8"/>
    </row>
    <row r="308" ht="16.5" customHeight="1">
      <c r="A308" s="38"/>
      <c r="B308" s="39"/>
      <c r="C308" s="65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8"/>
    </row>
    <row r="309" ht="16.5" customHeight="1">
      <c r="A309" s="38"/>
      <c r="B309" s="39"/>
      <c r="C309" s="65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8"/>
    </row>
    <row r="310" ht="16.5" customHeight="1">
      <c r="A310" s="38"/>
      <c r="B310" s="39"/>
      <c r="C310" s="65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8"/>
    </row>
    <row r="311" ht="16.5" customHeight="1">
      <c r="A311" s="38"/>
      <c r="B311" s="39"/>
      <c r="C311" s="65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8"/>
    </row>
    <row r="312" ht="16.5" customHeight="1">
      <c r="A312" s="38"/>
      <c r="B312" s="39"/>
      <c r="C312" s="65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8"/>
    </row>
    <row r="313" ht="16.5" customHeight="1">
      <c r="A313" s="38"/>
      <c r="B313" s="39"/>
      <c r="C313" s="65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8"/>
    </row>
    <row r="314" ht="16.5" customHeight="1">
      <c r="A314" s="38"/>
      <c r="B314" s="39"/>
      <c r="C314" s="65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8"/>
    </row>
    <row r="315" ht="16.5" customHeight="1">
      <c r="A315" s="38"/>
      <c r="B315" s="39"/>
      <c r="C315" s="65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8"/>
    </row>
    <row r="316" ht="16.5" customHeight="1">
      <c r="A316" s="38"/>
      <c r="B316" s="39"/>
      <c r="C316" s="65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8"/>
    </row>
    <row r="317" ht="16.5" customHeight="1">
      <c r="A317" s="38"/>
      <c r="B317" s="39"/>
      <c r="C317" s="65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8"/>
    </row>
    <row r="318" ht="16.5" customHeight="1">
      <c r="A318" s="38"/>
      <c r="B318" s="39"/>
      <c r="C318" s="65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8"/>
    </row>
    <row r="319" ht="16.5" customHeight="1">
      <c r="A319" s="38"/>
      <c r="B319" s="39"/>
      <c r="C319" s="65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8"/>
    </row>
    <row r="320" ht="16.5" customHeight="1">
      <c r="A320" s="38"/>
      <c r="B320" s="39"/>
      <c r="C320" s="65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8"/>
    </row>
    <row r="321" ht="16.5" customHeight="1">
      <c r="A321" s="38"/>
      <c r="B321" s="39"/>
      <c r="C321" s="65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8"/>
    </row>
    <row r="322" ht="16.5" customHeight="1">
      <c r="A322" s="38"/>
      <c r="B322" s="39"/>
      <c r="C322" s="65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8"/>
    </row>
    <row r="323" ht="16.5" customHeight="1">
      <c r="A323" s="38"/>
      <c r="B323" s="39"/>
      <c r="C323" s="65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8"/>
    </row>
    <row r="324" ht="16.5" customHeight="1">
      <c r="A324" s="38"/>
      <c r="B324" s="39"/>
      <c r="C324" s="65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8"/>
    </row>
    <row r="325" ht="16.5" customHeight="1">
      <c r="A325" s="38"/>
      <c r="B325" s="39"/>
      <c r="C325" s="65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8"/>
    </row>
    <row r="326" ht="16.5" customHeight="1">
      <c r="A326" s="38"/>
      <c r="B326" s="39"/>
      <c r="C326" s="65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8"/>
    </row>
    <row r="327" ht="16.5" customHeight="1">
      <c r="A327" s="38"/>
      <c r="B327" s="39"/>
      <c r="C327" s="65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8"/>
    </row>
    <row r="328" ht="16.5" customHeight="1">
      <c r="A328" s="38"/>
      <c r="B328" s="39"/>
      <c r="C328" s="65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8"/>
    </row>
    <row r="329" ht="16.5" customHeight="1">
      <c r="A329" s="38"/>
      <c r="B329" s="39"/>
      <c r="C329" s="6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8"/>
    </row>
    <row r="330" ht="16.5" customHeight="1">
      <c r="A330" s="38"/>
      <c r="B330" s="39"/>
      <c r="C330" s="65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8"/>
    </row>
    <row r="331" ht="16.5" customHeight="1">
      <c r="A331" s="38"/>
      <c r="B331" s="39"/>
      <c r="C331" s="65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8"/>
    </row>
    <row r="332" ht="16.5" customHeight="1">
      <c r="A332" s="38"/>
      <c r="B332" s="39"/>
      <c r="C332" s="65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8"/>
    </row>
    <row r="333" ht="16.5" customHeight="1">
      <c r="A333" s="38"/>
      <c r="B333" s="39"/>
      <c r="C333" s="65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8"/>
    </row>
    <row r="334" ht="16.5" customHeight="1">
      <c r="A334" s="38"/>
      <c r="B334" s="39"/>
      <c r="C334" s="65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8"/>
    </row>
    <row r="335" ht="16.5" customHeight="1">
      <c r="A335" s="38"/>
      <c r="B335" s="39"/>
      <c r="C335" s="65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8"/>
    </row>
    <row r="336" ht="16.5" customHeight="1">
      <c r="A336" s="38"/>
      <c r="B336" s="39"/>
      <c r="C336" s="65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8"/>
    </row>
    <row r="337" ht="16.5" customHeight="1">
      <c r="A337" s="38"/>
      <c r="B337" s="39"/>
      <c r="C337" s="65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8"/>
    </row>
    <row r="338" ht="16.5" customHeight="1">
      <c r="A338" s="38"/>
      <c r="B338" s="39"/>
      <c r="C338" s="65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8"/>
    </row>
    <row r="339" ht="16.5" customHeight="1">
      <c r="A339" s="38"/>
      <c r="B339" s="39"/>
      <c r="C339" s="65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8"/>
    </row>
    <row r="340" ht="16.5" customHeight="1">
      <c r="A340" s="38"/>
      <c r="B340" s="39"/>
      <c r="C340" s="65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8"/>
    </row>
    <row r="341" ht="16.5" customHeight="1">
      <c r="A341" s="38"/>
      <c r="B341" s="39"/>
      <c r="C341" s="65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8"/>
    </row>
    <row r="342" ht="16.5" customHeight="1">
      <c r="A342" s="38"/>
      <c r="B342" s="39"/>
      <c r="C342" s="65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8"/>
    </row>
    <row r="343" ht="16.5" customHeight="1">
      <c r="A343" s="38"/>
      <c r="B343" s="39"/>
      <c r="C343" s="65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8"/>
    </row>
    <row r="344" ht="16.5" customHeight="1">
      <c r="A344" s="38"/>
      <c r="B344" s="39"/>
      <c r="C344" s="65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8"/>
    </row>
    <row r="345" ht="16.5" customHeight="1">
      <c r="A345" s="38"/>
      <c r="B345" s="39"/>
      <c r="C345" s="65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8"/>
    </row>
    <row r="346" ht="16.5" customHeight="1">
      <c r="A346" s="38"/>
      <c r="B346" s="39"/>
      <c r="C346" s="65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8"/>
    </row>
    <row r="347" ht="16.5" customHeight="1">
      <c r="A347" s="38"/>
      <c r="B347" s="39"/>
      <c r="C347" s="65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8"/>
    </row>
    <row r="348" ht="16.5" customHeight="1">
      <c r="A348" s="38"/>
      <c r="B348" s="39"/>
      <c r="C348" s="65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8"/>
    </row>
    <row r="349" ht="16.5" customHeight="1">
      <c r="A349" s="38"/>
      <c r="B349" s="39"/>
      <c r="C349" s="65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8"/>
    </row>
    <row r="350" ht="16.5" customHeight="1">
      <c r="A350" s="38"/>
      <c r="B350" s="39"/>
      <c r="C350" s="65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8"/>
    </row>
    <row r="351" ht="16.5" customHeight="1">
      <c r="A351" s="38"/>
      <c r="B351" s="39"/>
      <c r="C351" s="65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8"/>
    </row>
    <row r="352" ht="16.5" customHeight="1">
      <c r="A352" s="38"/>
      <c r="B352" s="39"/>
      <c r="C352" s="65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8"/>
    </row>
    <row r="353" ht="16.5" customHeight="1">
      <c r="A353" s="38"/>
      <c r="B353" s="39"/>
      <c r="C353" s="65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8"/>
    </row>
    <row r="354" ht="16.5" customHeight="1">
      <c r="A354" s="38"/>
      <c r="B354" s="39"/>
      <c r="C354" s="65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8"/>
    </row>
    <row r="355" ht="16.5" customHeight="1">
      <c r="A355" s="38"/>
      <c r="B355" s="39"/>
      <c r="C355" s="65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8"/>
    </row>
    <row r="356" ht="16.5" customHeight="1">
      <c r="A356" s="38"/>
      <c r="B356" s="39"/>
      <c r="C356" s="65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8"/>
    </row>
    <row r="357" ht="16.5" customHeight="1">
      <c r="A357" s="38"/>
      <c r="B357" s="39"/>
      <c r="C357" s="65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8"/>
    </row>
    <row r="358" ht="16.5" customHeight="1">
      <c r="A358" s="38"/>
      <c r="B358" s="39"/>
      <c r="C358" s="65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8"/>
    </row>
    <row r="359" ht="16.5" customHeight="1">
      <c r="A359" s="38"/>
      <c r="B359" s="39"/>
      <c r="C359" s="65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8"/>
    </row>
    <row r="360" ht="16.5" customHeight="1">
      <c r="A360" s="38"/>
      <c r="B360" s="39"/>
      <c r="C360" s="65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8"/>
    </row>
    <row r="361" ht="16.5" customHeight="1">
      <c r="A361" s="38"/>
      <c r="B361" s="39"/>
      <c r="C361" s="65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8"/>
    </row>
    <row r="362" ht="16.5" customHeight="1">
      <c r="A362" s="38"/>
      <c r="B362" s="39"/>
      <c r="C362" s="65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8"/>
    </row>
    <row r="363" ht="16.5" customHeight="1">
      <c r="A363" s="38"/>
      <c r="B363" s="39"/>
      <c r="C363" s="65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8"/>
    </row>
    <row r="364" ht="16.5" customHeight="1">
      <c r="A364" s="38"/>
      <c r="B364" s="39"/>
      <c r="C364" s="65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8"/>
    </row>
    <row r="365" ht="16.5" customHeight="1">
      <c r="A365" s="38"/>
      <c r="B365" s="39"/>
      <c r="C365" s="65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8"/>
    </row>
    <row r="366" ht="16.5" customHeight="1">
      <c r="A366" s="38"/>
      <c r="B366" s="39"/>
      <c r="C366" s="65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8"/>
    </row>
    <row r="367" ht="16.5" customHeight="1">
      <c r="A367" s="38"/>
      <c r="B367" s="39"/>
      <c r="C367" s="65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8"/>
    </row>
    <row r="368" ht="16.5" customHeight="1">
      <c r="A368" s="38"/>
      <c r="B368" s="39"/>
      <c r="C368" s="65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8"/>
    </row>
    <row r="369" ht="16.5" customHeight="1">
      <c r="A369" s="38"/>
      <c r="B369" s="39"/>
      <c r="C369" s="65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8"/>
    </row>
    <row r="370" ht="16.5" customHeight="1">
      <c r="A370" s="38"/>
      <c r="B370" s="39"/>
      <c r="C370" s="65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8"/>
    </row>
    <row r="371" ht="16.5" customHeight="1">
      <c r="A371" s="38"/>
      <c r="B371" s="39"/>
      <c r="C371" s="65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8"/>
    </row>
    <row r="372" ht="16.5" customHeight="1">
      <c r="A372" s="38"/>
      <c r="B372" s="39"/>
      <c r="C372" s="65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8"/>
    </row>
    <row r="373" ht="16.5" customHeight="1">
      <c r="A373" s="38"/>
      <c r="B373" s="39"/>
      <c r="C373" s="65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8"/>
    </row>
    <row r="374" ht="16.5" customHeight="1">
      <c r="A374" s="38"/>
      <c r="B374" s="39"/>
      <c r="C374" s="65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8"/>
    </row>
    <row r="375" ht="16.5" customHeight="1">
      <c r="A375" s="38"/>
      <c r="B375" s="39"/>
      <c r="C375" s="65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8"/>
    </row>
    <row r="376" ht="16.5" customHeight="1">
      <c r="A376" s="38"/>
      <c r="B376" s="39"/>
      <c r="C376" s="65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8"/>
    </row>
    <row r="377" ht="16.5" customHeight="1">
      <c r="A377" s="38"/>
      <c r="B377" s="39"/>
      <c r="C377" s="65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8"/>
    </row>
    <row r="378" ht="16.5" customHeight="1">
      <c r="A378" s="38"/>
      <c r="B378" s="39"/>
      <c r="C378" s="65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8"/>
    </row>
    <row r="379" ht="16.5" customHeight="1">
      <c r="A379" s="38"/>
      <c r="B379" s="39"/>
      <c r="C379" s="65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8"/>
    </row>
    <row r="380" ht="16.5" customHeight="1">
      <c r="A380" s="38"/>
      <c r="B380" s="39"/>
      <c r="C380" s="65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8"/>
    </row>
    <row r="381" ht="16.5" customHeight="1">
      <c r="A381" s="38"/>
      <c r="B381" s="39"/>
      <c r="C381" s="65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8"/>
    </row>
    <row r="382" ht="16.5" customHeight="1">
      <c r="A382" s="38"/>
      <c r="B382" s="39"/>
      <c r="C382" s="65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8"/>
    </row>
    <row r="383" ht="16.5" customHeight="1">
      <c r="A383" s="38"/>
      <c r="B383" s="39"/>
      <c r="C383" s="65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8"/>
    </row>
    <row r="384" ht="16.5" customHeight="1">
      <c r="A384" s="38"/>
      <c r="B384" s="39"/>
      <c r="C384" s="65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8"/>
    </row>
    <row r="385" ht="16.5" customHeight="1">
      <c r="A385" s="38"/>
      <c r="B385" s="39"/>
      <c r="C385" s="65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8"/>
    </row>
    <row r="386" ht="16.5" customHeight="1">
      <c r="A386" s="38"/>
      <c r="B386" s="39"/>
      <c r="C386" s="65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8"/>
    </row>
    <row r="387" ht="16.5" customHeight="1">
      <c r="A387" s="38"/>
      <c r="B387" s="39"/>
      <c r="C387" s="65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8"/>
    </row>
    <row r="388" ht="16.5" customHeight="1">
      <c r="A388" s="38"/>
      <c r="B388" s="39"/>
      <c r="C388" s="65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8"/>
    </row>
    <row r="389" ht="16.5" customHeight="1">
      <c r="A389" s="38"/>
      <c r="B389" s="39"/>
      <c r="C389" s="65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8"/>
    </row>
    <row r="390" ht="16.5" customHeight="1">
      <c r="A390" s="38"/>
      <c r="B390" s="39"/>
      <c r="C390" s="65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8"/>
    </row>
    <row r="391" ht="16.5" customHeight="1">
      <c r="A391" s="38"/>
      <c r="B391" s="39"/>
      <c r="C391" s="65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8"/>
    </row>
    <row r="392" ht="16.5" customHeight="1">
      <c r="A392" s="38"/>
      <c r="B392" s="39"/>
      <c r="C392" s="65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8"/>
    </row>
    <row r="393" ht="16.5" customHeight="1">
      <c r="A393" s="38"/>
      <c r="B393" s="39"/>
      <c r="C393" s="65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8"/>
    </row>
    <row r="394" ht="16.5" customHeight="1">
      <c r="A394" s="38"/>
      <c r="B394" s="39"/>
      <c r="C394" s="65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8"/>
    </row>
    <row r="395" ht="16.5" customHeight="1">
      <c r="A395" s="38"/>
      <c r="B395" s="39"/>
      <c r="C395" s="65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8"/>
    </row>
    <row r="396" ht="16.5" customHeight="1">
      <c r="A396" s="38"/>
      <c r="B396" s="39"/>
      <c r="C396" s="65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8"/>
    </row>
    <row r="397" ht="16.5" customHeight="1">
      <c r="A397" s="38"/>
      <c r="B397" s="39"/>
      <c r="C397" s="65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8"/>
    </row>
    <row r="398" ht="16.5" customHeight="1">
      <c r="A398" s="38"/>
      <c r="B398" s="39"/>
      <c r="C398" s="65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8"/>
    </row>
    <row r="399" ht="16.5" customHeight="1">
      <c r="A399" s="38"/>
      <c r="B399" s="39"/>
      <c r="C399" s="65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8"/>
    </row>
    <row r="400" ht="16.5" customHeight="1">
      <c r="A400" s="38"/>
      <c r="B400" s="39"/>
      <c r="C400" s="65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8"/>
    </row>
    <row r="401" ht="16.5" customHeight="1">
      <c r="A401" s="38"/>
      <c r="B401" s="39"/>
      <c r="C401" s="65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8"/>
    </row>
    <row r="402" ht="16.5" customHeight="1">
      <c r="A402" s="38"/>
      <c r="B402" s="39"/>
      <c r="C402" s="65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8"/>
    </row>
    <row r="403" ht="16.5" customHeight="1">
      <c r="A403" s="38"/>
      <c r="B403" s="39"/>
      <c r="C403" s="65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8"/>
    </row>
    <row r="404" ht="16.5" customHeight="1">
      <c r="A404" s="38"/>
      <c r="B404" s="39"/>
      <c r="C404" s="65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8"/>
    </row>
    <row r="405" ht="16.5" customHeight="1">
      <c r="A405" s="38"/>
      <c r="B405" s="39"/>
      <c r="C405" s="65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8"/>
    </row>
    <row r="406" ht="16.5" customHeight="1">
      <c r="A406" s="38"/>
      <c r="B406" s="39"/>
      <c r="C406" s="65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8"/>
    </row>
    <row r="407" ht="16.5" customHeight="1">
      <c r="A407" s="38"/>
      <c r="B407" s="39"/>
      <c r="C407" s="65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8"/>
    </row>
    <row r="408" ht="16.5" customHeight="1">
      <c r="A408" s="38"/>
      <c r="B408" s="39"/>
      <c r="C408" s="65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8"/>
    </row>
    <row r="409" ht="16.5" customHeight="1">
      <c r="A409" s="38"/>
      <c r="B409" s="39"/>
      <c r="C409" s="65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8"/>
    </row>
    <row r="410" ht="16.5" customHeight="1">
      <c r="A410" s="38"/>
      <c r="B410" s="39"/>
      <c r="C410" s="65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8"/>
    </row>
    <row r="411" ht="16.5" customHeight="1">
      <c r="A411" s="38"/>
      <c r="B411" s="39"/>
      <c r="C411" s="65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8"/>
    </row>
    <row r="412" ht="16.5" customHeight="1">
      <c r="A412" s="38"/>
      <c r="B412" s="39"/>
      <c r="C412" s="65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8"/>
    </row>
    <row r="413" ht="16.5" customHeight="1">
      <c r="A413" s="38"/>
      <c r="B413" s="39"/>
      <c r="C413" s="65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8"/>
    </row>
    <row r="414" ht="16.5" customHeight="1">
      <c r="A414" s="38"/>
      <c r="B414" s="39"/>
      <c r="C414" s="65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8"/>
    </row>
    <row r="415" ht="16.5" customHeight="1">
      <c r="A415" s="38"/>
      <c r="B415" s="39"/>
      <c r="C415" s="65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8"/>
    </row>
    <row r="416" ht="16.5" customHeight="1">
      <c r="A416" s="38"/>
      <c r="B416" s="39"/>
      <c r="C416" s="65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8"/>
    </row>
    <row r="417" ht="16.5" customHeight="1">
      <c r="A417" s="38"/>
      <c r="B417" s="39"/>
      <c r="C417" s="65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8"/>
    </row>
    <row r="418" ht="16.5" customHeight="1">
      <c r="A418" s="38"/>
      <c r="B418" s="39"/>
      <c r="C418" s="65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8"/>
    </row>
    <row r="419" ht="16.5" customHeight="1">
      <c r="A419" s="38"/>
      <c r="B419" s="39"/>
      <c r="C419" s="65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8"/>
    </row>
    <row r="420" ht="16.5" customHeight="1">
      <c r="A420" s="38"/>
      <c r="B420" s="39"/>
      <c r="C420" s="65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8"/>
    </row>
    <row r="421" ht="16.5" customHeight="1">
      <c r="A421" s="38"/>
      <c r="B421" s="39"/>
      <c r="C421" s="65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8"/>
    </row>
    <row r="422" ht="16.5" customHeight="1">
      <c r="A422" s="38"/>
      <c r="B422" s="39"/>
      <c r="C422" s="65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8"/>
    </row>
    <row r="423" ht="16.5" customHeight="1">
      <c r="A423" s="38"/>
      <c r="B423" s="39"/>
      <c r="C423" s="65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8"/>
    </row>
    <row r="424" ht="16.5" customHeight="1">
      <c r="A424" s="38"/>
      <c r="B424" s="39"/>
      <c r="C424" s="65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8"/>
    </row>
    <row r="425" ht="16.5" customHeight="1">
      <c r="A425" s="38"/>
      <c r="B425" s="39"/>
      <c r="C425" s="65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8"/>
    </row>
    <row r="426" ht="16.5" customHeight="1">
      <c r="A426" s="38"/>
      <c r="B426" s="39"/>
      <c r="C426" s="65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8"/>
    </row>
    <row r="427" ht="16.5" customHeight="1">
      <c r="A427" s="38"/>
      <c r="B427" s="39"/>
      <c r="C427" s="65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8"/>
    </row>
    <row r="428" ht="16.5" customHeight="1">
      <c r="A428" s="38"/>
      <c r="B428" s="39"/>
      <c r="C428" s="65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8"/>
    </row>
    <row r="429" ht="16.5" customHeight="1">
      <c r="A429" s="38"/>
      <c r="B429" s="39"/>
      <c r="C429" s="65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8"/>
    </row>
    <row r="430" ht="16.5" customHeight="1">
      <c r="A430" s="38"/>
      <c r="B430" s="39"/>
      <c r="C430" s="65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8"/>
    </row>
    <row r="431" ht="16.5" customHeight="1">
      <c r="A431" s="38"/>
      <c r="B431" s="39"/>
      <c r="C431" s="65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8"/>
    </row>
    <row r="432" ht="16.5" customHeight="1">
      <c r="A432" s="38"/>
      <c r="B432" s="39"/>
      <c r="C432" s="65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8"/>
    </row>
    <row r="433" ht="16.5" customHeight="1">
      <c r="A433" s="38"/>
      <c r="B433" s="39"/>
      <c r="C433" s="65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8"/>
    </row>
    <row r="434" ht="16.5" customHeight="1">
      <c r="A434" s="38"/>
      <c r="B434" s="39"/>
      <c r="C434" s="65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8"/>
    </row>
    <row r="435" ht="16.5" customHeight="1">
      <c r="A435" s="38"/>
      <c r="B435" s="39"/>
      <c r="C435" s="65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8"/>
    </row>
    <row r="436" ht="16.5" customHeight="1">
      <c r="A436" s="38"/>
      <c r="B436" s="39"/>
      <c r="C436" s="65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8"/>
    </row>
    <row r="437" ht="16.5" customHeight="1">
      <c r="A437" s="38"/>
      <c r="B437" s="39"/>
      <c r="C437" s="65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8"/>
    </row>
    <row r="438" ht="16.5" customHeight="1">
      <c r="A438" s="38"/>
      <c r="B438" s="39"/>
      <c r="C438" s="65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8"/>
    </row>
    <row r="439" ht="16.5" customHeight="1">
      <c r="A439" s="38"/>
      <c r="B439" s="39"/>
      <c r="C439" s="65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8"/>
    </row>
    <row r="440" ht="16.5" customHeight="1">
      <c r="A440" s="38"/>
      <c r="B440" s="39"/>
      <c r="C440" s="65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8"/>
    </row>
    <row r="441" ht="16.5" customHeight="1">
      <c r="A441" s="38"/>
      <c r="B441" s="39"/>
      <c r="C441" s="65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8"/>
    </row>
    <row r="442" ht="16.5" customHeight="1">
      <c r="A442" s="38"/>
      <c r="B442" s="39"/>
      <c r="C442" s="65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8"/>
    </row>
    <row r="443" ht="16.5" customHeight="1">
      <c r="A443" s="38"/>
      <c r="B443" s="39"/>
      <c r="C443" s="65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8"/>
    </row>
    <row r="444" ht="16.5" customHeight="1">
      <c r="A444" s="38"/>
      <c r="B444" s="39"/>
      <c r="C444" s="65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8"/>
    </row>
    <row r="445" ht="16.5" customHeight="1">
      <c r="A445" s="38"/>
      <c r="B445" s="39"/>
      <c r="C445" s="65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8"/>
    </row>
    <row r="446" ht="16.5" customHeight="1">
      <c r="A446" s="38"/>
      <c r="B446" s="39"/>
      <c r="C446" s="65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8"/>
    </row>
    <row r="447" ht="16.5" customHeight="1">
      <c r="A447" s="38"/>
      <c r="B447" s="39"/>
      <c r="C447" s="65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8"/>
    </row>
    <row r="448" ht="16.5" customHeight="1">
      <c r="A448" s="38"/>
      <c r="B448" s="39"/>
      <c r="C448" s="65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8"/>
    </row>
    <row r="449" ht="16.5" customHeight="1">
      <c r="A449" s="38"/>
      <c r="B449" s="39"/>
      <c r="C449" s="65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8"/>
    </row>
    <row r="450" ht="16.5" customHeight="1">
      <c r="A450" s="38"/>
      <c r="B450" s="39"/>
      <c r="C450" s="65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8"/>
    </row>
    <row r="451" ht="16.5" customHeight="1">
      <c r="A451" s="38"/>
      <c r="B451" s="39"/>
      <c r="C451" s="65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8"/>
    </row>
    <row r="452" ht="16.5" customHeight="1">
      <c r="A452" s="38"/>
      <c r="B452" s="39"/>
      <c r="C452" s="65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8"/>
    </row>
    <row r="453" ht="16.5" customHeight="1">
      <c r="A453" s="38"/>
      <c r="B453" s="39"/>
      <c r="C453" s="65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8"/>
    </row>
    <row r="454" ht="16.5" customHeight="1">
      <c r="A454" s="38"/>
      <c r="B454" s="39"/>
      <c r="C454" s="65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8"/>
    </row>
    <row r="455" ht="16.5" customHeight="1">
      <c r="A455" s="38"/>
      <c r="B455" s="39"/>
      <c r="C455" s="65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8"/>
    </row>
    <row r="456" ht="16.5" customHeight="1">
      <c r="A456" s="38"/>
      <c r="B456" s="39"/>
      <c r="C456" s="65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8"/>
    </row>
    <row r="457" ht="16.5" customHeight="1">
      <c r="A457" s="38"/>
      <c r="B457" s="39"/>
      <c r="C457" s="65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8"/>
    </row>
    <row r="458" ht="16.5" customHeight="1">
      <c r="A458" s="38"/>
      <c r="B458" s="39"/>
      <c r="C458" s="65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8"/>
    </row>
    <row r="459" ht="16.5" customHeight="1">
      <c r="A459" s="38"/>
      <c r="B459" s="39"/>
      <c r="C459" s="65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8"/>
    </row>
    <row r="460" ht="16.5" customHeight="1">
      <c r="A460" s="38"/>
      <c r="B460" s="39"/>
      <c r="C460" s="65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8"/>
    </row>
    <row r="461" ht="16.5" customHeight="1">
      <c r="A461" s="38"/>
      <c r="B461" s="39"/>
      <c r="C461" s="65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8"/>
    </row>
    <row r="462" ht="16.5" customHeight="1">
      <c r="A462" s="38"/>
      <c r="B462" s="39"/>
      <c r="C462" s="65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8"/>
    </row>
    <row r="463" ht="16.5" customHeight="1">
      <c r="A463" s="38"/>
      <c r="B463" s="39"/>
      <c r="C463" s="65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8"/>
    </row>
    <row r="464" ht="16.5" customHeight="1">
      <c r="A464" s="38"/>
      <c r="B464" s="39"/>
      <c r="C464" s="65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8"/>
    </row>
    <row r="465" ht="16.5" customHeight="1">
      <c r="A465" s="38"/>
      <c r="B465" s="39"/>
      <c r="C465" s="65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8"/>
    </row>
    <row r="466" ht="16.5" customHeight="1">
      <c r="A466" s="38"/>
      <c r="B466" s="39"/>
      <c r="C466" s="65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8"/>
    </row>
    <row r="467" ht="16.5" customHeight="1">
      <c r="A467" s="38"/>
      <c r="B467" s="39"/>
      <c r="C467" s="65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8"/>
    </row>
    <row r="468" ht="16.5" customHeight="1">
      <c r="A468" s="38"/>
      <c r="B468" s="39"/>
      <c r="C468" s="65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8"/>
    </row>
    <row r="469" ht="16.5" customHeight="1">
      <c r="A469" s="38"/>
      <c r="B469" s="39"/>
      <c r="C469" s="65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8"/>
    </row>
    <row r="470" ht="16.5" customHeight="1">
      <c r="A470" s="38"/>
      <c r="B470" s="39"/>
      <c r="C470" s="65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8"/>
    </row>
    <row r="471" ht="16.5" customHeight="1">
      <c r="A471" s="38"/>
      <c r="B471" s="39"/>
      <c r="C471" s="65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8"/>
    </row>
    <row r="472" ht="16.5" customHeight="1">
      <c r="A472" s="38"/>
      <c r="B472" s="39"/>
      <c r="C472" s="65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8"/>
    </row>
    <row r="473" ht="16.5" customHeight="1">
      <c r="A473" s="38"/>
      <c r="B473" s="39"/>
      <c r="C473" s="65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8"/>
    </row>
    <row r="474" ht="16.5" customHeight="1">
      <c r="A474" s="38"/>
      <c r="B474" s="39"/>
      <c r="C474" s="65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8"/>
    </row>
    <row r="475" ht="16.5" customHeight="1">
      <c r="A475" s="38"/>
      <c r="B475" s="39"/>
      <c r="C475" s="65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8"/>
    </row>
    <row r="476" ht="16.5" customHeight="1">
      <c r="A476" s="38"/>
      <c r="B476" s="39"/>
      <c r="C476" s="65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8"/>
    </row>
    <row r="477" ht="16.5" customHeight="1">
      <c r="A477" s="38"/>
      <c r="B477" s="39"/>
      <c r="C477" s="65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8"/>
    </row>
    <row r="478" ht="16.5" customHeight="1">
      <c r="A478" s="38"/>
      <c r="B478" s="39"/>
      <c r="C478" s="65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8"/>
    </row>
    <row r="479" ht="16.5" customHeight="1">
      <c r="A479" s="38"/>
      <c r="B479" s="39"/>
      <c r="C479" s="65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8"/>
    </row>
    <row r="480" ht="16.5" customHeight="1">
      <c r="A480" s="38"/>
      <c r="B480" s="39"/>
      <c r="C480" s="65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8"/>
    </row>
    <row r="481" ht="16.5" customHeight="1">
      <c r="A481" s="38"/>
      <c r="B481" s="39"/>
      <c r="C481" s="65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8"/>
    </row>
    <row r="482" ht="16.5" customHeight="1">
      <c r="A482" s="38"/>
      <c r="B482" s="39"/>
      <c r="C482" s="65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8"/>
    </row>
    <row r="483" ht="16.5" customHeight="1">
      <c r="A483" s="38"/>
      <c r="B483" s="39"/>
      <c r="C483" s="65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8"/>
    </row>
    <row r="484" ht="16.5" customHeight="1">
      <c r="A484" s="38"/>
      <c r="B484" s="39"/>
      <c r="C484" s="65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8"/>
    </row>
    <row r="485" ht="16.5" customHeight="1">
      <c r="A485" s="38"/>
      <c r="B485" s="39"/>
      <c r="C485" s="65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8"/>
    </row>
    <row r="486" ht="16.5" customHeight="1">
      <c r="A486" s="38"/>
      <c r="B486" s="39"/>
      <c r="C486" s="65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8"/>
    </row>
    <row r="487" ht="16.5" customHeight="1">
      <c r="A487" s="38"/>
      <c r="B487" s="39"/>
      <c r="C487" s="65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8"/>
    </row>
    <row r="488" ht="16.5" customHeight="1">
      <c r="A488" s="38"/>
      <c r="B488" s="39"/>
      <c r="C488" s="65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8"/>
    </row>
    <row r="489" ht="16.5" customHeight="1">
      <c r="A489" s="38"/>
      <c r="B489" s="39"/>
      <c r="C489" s="65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8"/>
    </row>
    <row r="490" ht="16.5" customHeight="1">
      <c r="A490" s="38"/>
      <c r="B490" s="39"/>
      <c r="C490" s="65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8"/>
    </row>
    <row r="491" ht="16.5" customHeight="1">
      <c r="A491" s="38"/>
      <c r="B491" s="39"/>
      <c r="C491" s="65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8"/>
    </row>
    <row r="492" ht="16.5" customHeight="1">
      <c r="A492" s="38"/>
      <c r="B492" s="39"/>
      <c r="C492" s="65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8"/>
    </row>
    <row r="493" ht="16.5" customHeight="1">
      <c r="A493" s="38"/>
      <c r="B493" s="39"/>
      <c r="C493" s="65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8"/>
    </row>
    <row r="494" ht="16.5" customHeight="1">
      <c r="A494" s="38"/>
      <c r="B494" s="39"/>
      <c r="C494" s="65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8"/>
    </row>
    <row r="495" ht="16.5" customHeight="1">
      <c r="A495" s="38"/>
      <c r="B495" s="39"/>
      <c r="C495" s="65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8"/>
    </row>
    <row r="496" ht="16.5" customHeight="1">
      <c r="A496" s="38"/>
      <c r="B496" s="39"/>
      <c r="C496" s="65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8"/>
    </row>
    <row r="497" ht="16.5" customHeight="1">
      <c r="A497" s="38"/>
      <c r="B497" s="39"/>
      <c r="C497" s="65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8"/>
    </row>
    <row r="498" ht="16.5" customHeight="1">
      <c r="A498" s="38"/>
      <c r="B498" s="39"/>
      <c r="C498" s="65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8"/>
    </row>
    <row r="499" ht="16.5" customHeight="1">
      <c r="A499" s="38"/>
      <c r="B499" s="39"/>
      <c r="C499" s="65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8"/>
    </row>
    <row r="500" ht="16.5" customHeight="1">
      <c r="A500" s="38"/>
      <c r="B500" s="39"/>
      <c r="C500" s="65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8"/>
    </row>
    <row r="501" ht="16.5" customHeight="1">
      <c r="A501" s="38"/>
      <c r="B501" s="39"/>
      <c r="C501" s="65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8"/>
    </row>
    <row r="502" ht="16.5" customHeight="1">
      <c r="A502" s="38"/>
      <c r="B502" s="39"/>
      <c r="C502" s="65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8"/>
    </row>
    <row r="503" ht="16.5" customHeight="1">
      <c r="A503" s="38"/>
      <c r="B503" s="39"/>
      <c r="C503" s="65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8"/>
    </row>
    <row r="504" ht="16.5" customHeight="1">
      <c r="A504" s="38"/>
      <c r="B504" s="39"/>
      <c r="C504" s="65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8"/>
    </row>
    <row r="505" ht="16.5" customHeight="1">
      <c r="A505" s="38"/>
      <c r="B505" s="39"/>
      <c r="C505" s="65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8"/>
    </row>
    <row r="506" ht="16.5" customHeight="1">
      <c r="A506" s="38"/>
      <c r="B506" s="39"/>
      <c r="C506" s="65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8"/>
    </row>
    <row r="507" ht="16.5" customHeight="1">
      <c r="A507" s="38"/>
      <c r="B507" s="39"/>
      <c r="C507" s="65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8"/>
    </row>
    <row r="508" ht="16.5" customHeight="1">
      <c r="A508" s="38"/>
      <c r="B508" s="39"/>
      <c r="C508" s="65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8"/>
    </row>
    <row r="509" ht="16.5" customHeight="1">
      <c r="A509" s="38"/>
      <c r="B509" s="39"/>
      <c r="C509" s="65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8"/>
    </row>
    <row r="510" ht="16.5" customHeight="1">
      <c r="A510" s="38"/>
      <c r="B510" s="39"/>
      <c r="C510" s="65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8"/>
    </row>
    <row r="511" ht="16.5" customHeight="1">
      <c r="A511" s="38"/>
      <c r="B511" s="39"/>
      <c r="C511" s="65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8"/>
    </row>
    <row r="512" ht="16.5" customHeight="1">
      <c r="A512" s="38"/>
      <c r="B512" s="39"/>
      <c r="C512" s="65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8"/>
    </row>
    <row r="513" ht="16.5" customHeight="1">
      <c r="A513" s="38"/>
      <c r="B513" s="39"/>
      <c r="C513" s="65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8"/>
    </row>
    <row r="514" ht="16.5" customHeight="1">
      <c r="A514" s="38"/>
      <c r="B514" s="39"/>
      <c r="C514" s="65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8"/>
    </row>
    <row r="515" ht="16.5" customHeight="1">
      <c r="A515" s="38"/>
      <c r="B515" s="39"/>
      <c r="C515" s="65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8"/>
    </row>
    <row r="516" ht="16.5" customHeight="1">
      <c r="A516" s="38"/>
      <c r="B516" s="39"/>
      <c r="C516" s="65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8"/>
    </row>
    <row r="517" ht="16.5" customHeight="1">
      <c r="A517" s="38"/>
      <c r="B517" s="39"/>
      <c r="C517" s="65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8"/>
    </row>
    <row r="518" ht="16.5" customHeight="1">
      <c r="A518" s="38"/>
      <c r="B518" s="39"/>
      <c r="C518" s="65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8"/>
    </row>
    <row r="519" ht="16.5" customHeight="1">
      <c r="A519" s="38"/>
      <c r="B519" s="39"/>
      <c r="C519" s="65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8"/>
    </row>
    <row r="520" ht="16.5" customHeight="1">
      <c r="A520" s="38"/>
      <c r="B520" s="39"/>
      <c r="C520" s="65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8"/>
    </row>
    <row r="521" ht="16.5" customHeight="1">
      <c r="A521" s="38"/>
      <c r="B521" s="39"/>
      <c r="C521" s="65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8"/>
    </row>
    <row r="522" ht="16.5" customHeight="1">
      <c r="A522" s="38"/>
      <c r="B522" s="39"/>
      <c r="C522" s="65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8"/>
    </row>
    <row r="523" ht="16.5" customHeight="1">
      <c r="A523" s="38"/>
      <c r="B523" s="39"/>
      <c r="C523" s="65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8"/>
    </row>
    <row r="524" ht="16.5" customHeight="1">
      <c r="A524" s="38"/>
      <c r="B524" s="39"/>
      <c r="C524" s="65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8"/>
    </row>
    <row r="525" ht="16.5" customHeight="1">
      <c r="A525" s="38"/>
      <c r="B525" s="39"/>
      <c r="C525" s="65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8"/>
    </row>
    <row r="526" ht="16.5" customHeight="1">
      <c r="A526" s="38"/>
      <c r="B526" s="39"/>
      <c r="C526" s="65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8"/>
    </row>
    <row r="527" ht="16.5" customHeight="1">
      <c r="A527" s="38"/>
      <c r="B527" s="39"/>
      <c r="C527" s="65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8"/>
    </row>
    <row r="528" ht="16.5" customHeight="1">
      <c r="A528" s="38"/>
      <c r="B528" s="39"/>
      <c r="C528" s="65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8"/>
    </row>
    <row r="529" ht="16.5" customHeight="1">
      <c r="A529" s="38"/>
      <c r="B529" s="39"/>
      <c r="C529" s="65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8"/>
    </row>
    <row r="530" ht="16.5" customHeight="1">
      <c r="A530" s="38"/>
      <c r="B530" s="39"/>
      <c r="C530" s="65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8"/>
    </row>
    <row r="531" ht="16.5" customHeight="1">
      <c r="A531" s="38"/>
      <c r="B531" s="39"/>
      <c r="C531" s="65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8"/>
    </row>
    <row r="532" ht="16.5" customHeight="1">
      <c r="A532" s="38"/>
      <c r="B532" s="39"/>
      <c r="C532" s="65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8"/>
    </row>
    <row r="533" ht="16.5" customHeight="1">
      <c r="A533" s="38"/>
      <c r="B533" s="39"/>
      <c r="C533" s="65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8"/>
    </row>
    <row r="534" ht="16.5" customHeight="1">
      <c r="A534" s="38"/>
      <c r="B534" s="39"/>
      <c r="C534" s="65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8"/>
    </row>
    <row r="535" ht="16.5" customHeight="1">
      <c r="A535" s="38"/>
      <c r="B535" s="39"/>
      <c r="C535" s="65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8"/>
    </row>
    <row r="536" ht="16.5" customHeight="1">
      <c r="A536" s="38"/>
      <c r="B536" s="39"/>
      <c r="C536" s="65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8"/>
    </row>
    <row r="537" ht="16.5" customHeight="1">
      <c r="A537" s="38"/>
      <c r="B537" s="39"/>
      <c r="C537" s="65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8"/>
    </row>
    <row r="538" ht="16.5" customHeight="1">
      <c r="A538" s="38"/>
      <c r="B538" s="39"/>
      <c r="C538" s="65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8"/>
    </row>
    <row r="539" ht="16.5" customHeight="1">
      <c r="A539" s="38"/>
      <c r="B539" s="39"/>
      <c r="C539" s="65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8"/>
    </row>
    <row r="540" ht="16.5" customHeight="1">
      <c r="A540" s="38"/>
      <c r="B540" s="39"/>
      <c r="C540" s="65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8"/>
    </row>
    <row r="541" ht="16.5" customHeight="1">
      <c r="A541" s="38"/>
      <c r="B541" s="39"/>
      <c r="C541" s="65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8"/>
    </row>
    <row r="542" ht="16.5" customHeight="1">
      <c r="A542" s="38"/>
      <c r="B542" s="39"/>
      <c r="C542" s="65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8"/>
    </row>
    <row r="543" ht="16.5" customHeight="1">
      <c r="A543" s="38"/>
      <c r="B543" s="39"/>
      <c r="C543" s="65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8"/>
    </row>
    <row r="544" ht="16.5" customHeight="1">
      <c r="A544" s="38"/>
      <c r="B544" s="39"/>
      <c r="C544" s="65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8"/>
    </row>
    <row r="545" ht="16.5" customHeight="1">
      <c r="A545" s="38"/>
      <c r="B545" s="39"/>
      <c r="C545" s="65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8"/>
    </row>
    <row r="546" ht="16.5" customHeight="1">
      <c r="A546" s="38"/>
      <c r="B546" s="39"/>
      <c r="C546" s="65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8"/>
    </row>
    <row r="547" ht="16.5" customHeight="1">
      <c r="A547" s="38"/>
      <c r="B547" s="39"/>
      <c r="C547" s="65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8"/>
    </row>
    <row r="548" ht="16.5" customHeight="1">
      <c r="A548" s="38"/>
      <c r="B548" s="39"/>
      <c r="C548" s="65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8"/>
    </row>
    <row r="549" ht="16.5" customHeight="1">
      <c r="A549" s="38"/>
      <c r="B549" s="39"/>
      <c r="C549" s="65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8"/>
    </row>
    <row r="550" ht="16.5" customHeight="1">
      <c r="A550" s="38"/>
      <c r="B550" s="39"/>
      <c r="C550" s="65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8"/>
    </row>
    <row r="551" ht="16.5" customHeight="1">
      <c r="A551" s="38"/>
      <c r="B551" s="39"/>
      <c r="C551" s="65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8"/>
    </row>
    <row r="552" ht="16.5" customHeight="1">
      <c r="A552" s="38"/>
      <c r="B552" s="39"/>
      <c r="C552" s="65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8"/>
    </row>
    <row r="553" ht="16.5" customHeight="1">
      <c r="A553" s="38"/>
      <c r="B553" s="39"/>
      <c r="C553" s="65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8"/>
    </row>
    <row r="554" ht="16.5" customHeight="1">
      <c r="A554" s="38"/>
      <c r="B554" s="39"/>
      <c r="C554" s="65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8"/>
    </row>
    <row r="555" ht="16.5" customHeight="1">
      <c r="A555" s="38"/>
      <c r="B555" s="39"/>
      <c r="C555" s="65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8"/>
    </row>
    <row r="556" ht="16.5" customHeight="1">
      <c r="A556" s="38"/>
      <c r="B556" s="39"/>
      <c r="C556" s="65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8"/>
    </row>
    <row r="557" ht="16.5" customHeight="1">
      <c r="A557" s="38"/>
      <c r="B557" s="39"/>
      <c r="C557" s="65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8"/>
    </row>
    <row r="558" ht="16.5" customHeight="1">
      <c r="A558" s="38"/>
      <c r="B558" s="39"/>
      <c r="C558" s="65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8"/>
    </row>
    <row r="559" ht="16.5" customHeight="1">
      <c r="A559" s="38"/>
      <c r="B559" s="39"/>
      <c r="C559" s="65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8"/>
    </row>
    <row r="560" ht="16.5" customHeight="1">
      <c r="A560" s="38"/>
      <c r="B560" s="39"/>
      <c r="C560" s="65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8"/>
    </row>
    <row r="561" ht="16.5" customHeight="1">
      <c r="A561" s="38"/>
      <c r="B561" s="39"/>
      <c r="C561" s="65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8"/>
    </row>
    <row r="562" ht="16.5" customHeight="1">
      <c r="A562" s="38"/>
      <c r="B562" s="39"/>
      <c r="C562" s="65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8"/>
    </row>
    <row r="563" ht="16.5" customHeight="1">
      <c r="A563" s="38"/>
      <c r="B563" s="39"/>
      <c r="C563" s="65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8"/>
    </row>
    <row r="564" ht="16.5" customHeight="1">
      <c r="A564" s="38"/>
      <c r="B564" s="39"/>
      <c r="C564" s="65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8"/>
    </row>
    <row r="565" ht="16.5" customHeight="1">
      <c r="A565" s="38"/>
      <c r="B565" s="39"/>
      <c r="C565" s="65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8"/>
    </row>
    <row r="566" ht="16.5" customHeight="1">
      <c r="A566" s="38"/>
      <c r="B566" s="39"/>
      <c r="C566" s="65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8"/>
    </row>
    <row r="567" ht="16.5" customHeight="1">
      <c r="A567" s="38"/>
      <c r="B567" s="39"/>
      <c r="C567" s="65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8"/>
    </row>
    <row r="568" ht="16.5" customHeight="1">
      <c r="A568" s="38"/>
      <c r="B568" s="39"/>
      <c r="C568" s="65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8"/>
    </row>
    <row r="569" ht="16.5" customHeight="1">
      <c r="A569" s="38"/>
      <c r="B569" s="39"/>
      <c r="C569" s="65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8"/>
    </row>
    <row r="570" ht="16.5" customHeight="1">
      <c r="A570" s="38"/>
      <c r="B570" s="39"/>
      <c r="C570" s="65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8"/>
    </row>
    <row r="571" ht="16.5" customHeight="1">
      <c r="A571" s="38"/>
      <c r="B571" s="39"/>
      <c r="C571" s="65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8"/>
    </row>
    <row r="572" ht="16.5" customHeight="1">
      <c r="A572" s="38"/>
      <c r="B572" s="39"/>
      <c r="C572" s="65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8"/>
    </row>
    <row r="573" ht="16.5" customHeight="1">
      <c r="A573" s="38"/>
      <c r="B573" s="39"/>
      <c r="C573" s="65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8"/>
    </row>
    <row r="574" ht="16.5" customHeight="1">
      <c r="A574" s="38"/>
      <c r="B574" s="39"/>
      <c r="C574" s="65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8"/>
    </row>
    <row r="575" ht="16.5" customHeight="1">
      <c r="A575" s="38"/>
      <c r="B575" s="39"/>
      <c r="C575" s="65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8"/>
    </row>
    <row r="576" ht="16.5" customHeight="1">
      <c r="A576" s="38"/>
      <c r="B576" s="39"/>
      <c r="C576" s="65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8"/>
    </row>
    <row r="577" ht="16.5" customHeight="1">
      <c r="A577" s="38"/>
      <c r="B577" s="39"/>
      <c r="C577" s="65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8"/>
    </row>
    <row r="578" ht="16.5" customHeight="1">
      <c r="A578" s="38"/>
      <c r="B578" s="39"/>
      <c r="C578" s="65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8"/>
    </row>
    <row r="579" ht="16.5" customHeight="1">
      <c r="A579" s="38"/>
      <c r="B579" s="39"/>
      <c r="C579" s="65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8"/>
    </row>
    <row r="580" ht="16.5" customHeight="1">
      <c r="A580" s="38"/>
      <c r="B580" s="39"/>
      <c r="C580" s="65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8"/>
    </row>
    <row r="581" ht="16.5" customHeight="1">
      <c r="A581" s="38"/>
      <c r="B581" s="39"/>
      <c r="C581" s="65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8"/>
    </row>
    <row r="582" ht="16.5" customHeight="1">
      <c r="A582" s="38"/>
      <c r="B582" s="39"/>
      <c r="C582" s="65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8"/>
    </row>
    <row r="583" ht="16.5" customHeight="1">
      <c r="A583" s="38"/>
      <c r="B583" s="39"/>
      <c r="C583" s="65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8"/>
    </row>
    <row r="584" ht="16.5" customHeight="1">
      <c r="A584" s="38"/>
      <c r="B584" s="39"/>
      <c r="C584" s="65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8"/>
    </row>
    <row r="585" ht="16.5" customHeight="1">
      <c r="A585" s="38"/>
      <c r="B585" s="39"/>
      <c r="C585" s="65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8"/>
    </row>
    <row r="586" ht="16.5" customHeight="1">
      <c r="A586" s="38"/>
      <c r="B586" s="39"/>
      <c r="C586" s="65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8"/>
    </row>
    <row r="587" ht="16.5" customHeight="1">
      <c r="A587" s="38"/>
      <c r="B587" s="39"/>
      <c r="C587" s="65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8"/>
    </row>
    <row r="588" ht="16.5" customHeight="1">
      <c r="A588" s="38"/>
      <c r="B588" s="39"/>
      <c r="C588" s="65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8"/>
    </row>
    <row r="589" ht="16.5" customHeight="1">
      <c r="A589" s="38"/>
      <c r="B589" s="39"/>
      <c r="C589" s="65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8"/>
    </row>
    <row r="590" ht="16.5" customHeight="1">
      <c r="A590" s="38"/>
      <c r="B590" s="39"/>
      <c r="C590" s="65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8"/>
    </row>
    <row r="591" ht="16.5" customHeight="1">
      <c r="A591" s="38"/>
      <c r="B591" s="39"/>
      <c r="C591" s="65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8"/>
    </row>
    <row r="592" ht="16.5" customHeight="1">
      <c r="A592" s="38"/>
      <c r="B592" s="39"/>
      <c r="C592" s="65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8"/>
    </row>
    <row r="593" ht="16.5" customHeight="1">
      <c r="A593" s="38"/>
      <c r="B593" s="39"/>
      <c r="C593" s="65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8"/>
    </row>
    <row r="594" ht="16.5" customHeight="1">
      <c r="A594" s="38"/>
      <c r="B594" s="39"/>
      <c r="C594" s="65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8"/>
    </row>
    <row r="595" ht="16.5" customHeight="1">
      <c r="A595" s="38"/>
      <c r="B595" s="39"/>
      <c r="C595" s="65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8"/>
    </row>
    <row r="596" ht="16.5" customHeight="1">
      <c r="A596" s="38"/>
      <c r="B596" s="39"/>
      <c r="C596" s="65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8"/>
    </row>
    <row r="597" ht="16.5" customHeight="1">
      <c r="A597" s="38"/>
      <c r="B597" s="39"/>
      <c r="C597" s="65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8"/>
    </row>
    <row r="598" ht="16.5" customHeight="1">
      <c r="A598" s="38"/>
      <c r="B598" s="39"/>
      <c r="C598" s="65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8"/>
    </row>
    <row r="599" ht="16.5" customHeight="1">
      <c r="A599" s="38"/>
      <c r="B599" s="39"/>
      <c r="C599" s="65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8"/>
    </row>
    <row r="600" ht="16.5" customHeight="1">
      <c r="A600" s="38"/>
      <c r="B600" s="39"/>
      <c r="C600" s="65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8"/>
    </row>
    <row r="601" ht="16.5" customHeight="1">
      <c r="A601" s="38"/>
      <c r="B601" s="39"/>
      <c r="C601" s="65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8"/>
    </row>
    <row r="602" ht="16.5" customHeight="1">
      <c r="A602" s="38"/>
      <c r="B602" s="39"/>
      <c r="C602" s="65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8"/>
    </row>
    <row r="603" ht="16.5" customHeight="1">
      <c r="A603" s="38"/>
      <c r="B603" s="39"/>
      <c r="C603" s="65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8"/>
    </row>
    <row r="604" ht="16.5" customHeight="1">
      <c r="A604" s="38"/>
      <c r="B604" s="39"/>
      <c r="C604" s="65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8"/>
    </row>
    <row r="605" ht="16.5" customHeight="1">
      <c r="A605" s="38"/>
      <c r="B605" s="39"/>
      <c r="C605" s="65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8"/>
    </row>
    <row r="606" ht="16.5" customHeight="1">
      <c r="A606" s="38"/>
      <c r="B606" s="39"/>
      <c r="C606" s="65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8"/>
    </row>
    <row r="607" ht="16.5" customHeight="1">
      <c r="A607" s="38"/>
      <c r="B607" s="39"/>
      <c r="C607" s="65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8"/>
    </row>
    <row r="608" ht="16.5" customHeight="1">
      <c r="A608" s="38"/>
      <c r="B608" s="39"/>
      <c r="C608" s="65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8"/>
    </row>
    <row r="609" ht="16.5" customHeight="1">
      <c r="A609" s="38"/>
      <c r="B609" s="39"/>
      <c r="C609" s="65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8"/>
    </row>
    <row r="610" ht="16.5" customHeight="1">
      <c r="A610" s="38"/>
      <c r="B610" s="39"/>
      <c r="C610" s="65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8"/>
    </row>
    <row r="611" ht="16.5" customHeight="1">
      <c r="A611" s="38"/>
      <c r="B611" s="39"/>
      <c r="C611" s="65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8"/>
    </row>
    <row r="612" ht="16.5" customHeight="1">
      <c r="A612" s="38"/>
      <c r="B612" s="39"/>
      <c r="C612" s="65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8"/>
    </row>
    <row r="613" ht="16.5" customHeight="1">
      <c r="A613" s="38"/>
      <c r="B613" s="39"/>
      <c r="C613" s="65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8"/>
    </row>
    <row r="614" ht="16.5" customHeight="1">
      <c r="A614" s="38"/>
      <c r="B614" s="39"/>
      <c r="C614" s="65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8"/>
    </row>
    <row r="615" ht="16.5" customHeight="1">
      <c r="A615" s="38"/>
      <c r="B615" s="39"/>
      <c r="C615" s="65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8"/>
    </row>
    <row r="616" ht="16.5" customHeight="1">
      <c r="A616" s="38"/>
      <c r="B616" s="39"/>
      <c r="C616" s="65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8"/>
    </row>
    <row r="617" ht="16.5" customHeight="1">
      <c r="A617" s="38"/>
      <c r="B617" s="39"/>
      <c r="C617" s="65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8"/>
    </row>
    <row r="618" ht="16.5" customHeight="1">
      <c r="A618" s="38"/>
      <c r="B618" s="39"/>
      <c r="C618" s="65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8"/>
    </row>
    <row r="619" ht="16.5" customHeight="1">
      <c r="A619" s="38"/>
      <c r="B619" s="39"/>
      <c r="C619" s="65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8"/>
    </row>
    <row r="620" ht="16.5" customHeight="1">
      <c r="A620" s="38"/>
      <c r="B620" s="39"/>
      <c r="C620" s="65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8"/>
    </row>
    <row r="621" ht="16.5" customHeight="1">
      <c r="A621" s="38"/>
      <c r="B621" s="39"/>
      <c r="C621" s="65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8"/>
    </row>
    <row r="622" ht="16.5" customHeight="1">
      <c r="A622" s="38"/>
      <c r="B622" s="39"/>
      <c r="C622" s="65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8"/>
    </row>
    <row r="623" ht="16.5" customHeight="1">
      <c r="A623" s="38"/>
      <c r="B623" s="39"/>
      <c r="C623" s="65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8"/>
    </row>
    <row r="624" ht="16.5" customHeight="1">
      <c r="A624" s="38"/>
      <c r="B624" s="39"/>
      <c r="C624" s="65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8"/>
    </row>
    <row r="625" ht="16.5" customHeight="1">
      <c r="A625" s="38"/>
      <c r="B625" s="39"/>
      <c r="C625" s="65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8"/>
    </row>
    <row r="626" ht="16.5" customHeight="1">
      <c r="A626" s="38"/>
      <c r="B626" s="39"/>
      <c r="C626" s="65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8"/>
    </row>
    <row r="627" ht="16.5" customHeight="1">
      <c r="A627" s="38"/>
      <c r="B627" s="39"/>
      <c r="C627" s="65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8"/>
    </row>
    <row r="628" ht="16.5" customHeight="1">
      <c r="A628" s="38"/>
      <c r="B628" s="39"/>
      <c r="C628" s="65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8"/>
    </row>
    <row r="629" ht="16.5" customHeight="1">
      <c r="A629" s="38"/>
      <c r="B629" s="39"/>
      <c r="C629" s="65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8"/>
    </row>
    <row r="630" ht="16.5" customHeight="1">
      <c r="A630" s="38"/>
      <c r="B630" s="39"/>
      <c r="C630" s="65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8"/>
    </row>
    <row r="631" ht="16.5" customHeight="1">
      <c r="A631" s="38"/>
      <c r="B631" s="39"/>
      <c r="C631" s="65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8"/>
    </row>
    <row r="632" ht="16.5" customHeight="1">
      <c r="A632" s="38"/>
      <c r="B632" s="39"/>
      <c r="C632" s="65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8"/>
    </row>
    <row r="633" ht="16.5" customHeight="1">
      <c r="A633" s="38"/>
      <c r="B633" s="39"/>
      <c r="C633" s="65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8"/>
    </row>
    <row r="634" ht="16.5" customHeight="1">
      <c r="A634" s="38"/>
      <c r="B634" s="39"/>
      <c r="C634" s="65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8"/>
    </row>
    <row r="635" ht="16.5" customHeight="1">
      <c r="A635" s="38"/>
      <c r="B635" s="39"/>
      <c r="C635" s="65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8"/>
    </row>
    <row r="636" ht="16.5" customHeight="1">
      <c r="A636" s="38"/>
      <c r="B636" s="39"/>
      <c r="C636" s="65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8"/>
    </row>
    <row r="637" ht="16.5" customHeight="1">
      <c r="A637" s="38"/>
      <c r="B637" s="39"/>
      <c r="C637" s="65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8"/>
    </row>
    <row r="638" ht="16.5" customHeight="1">
      <c r="A638" s="38"/>
      <c r="B638" s="39"/>
      <c r="C638" s="65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8"/>
    </row>
    <row r="639" ht="16.5" customHeight="1">
      <c r="A639" s="38"/>
      <c r="B639" s="39"/>
      <c r="C639" s="65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8"/>
    </row>
    <row r="640" ht="16.5" customHeight="1">
      <c r="A640" s="38"/>
      <c r="B640" s="39"/>
      <c r="C640" s="65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8"/>
    </row>
    <row r="641" ht="16.5" customHeight="1">
      <c r="A641" s="38"/>
      <c r="B641" s="39"/>
      <c r="C641" s="65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8"/>
    </row>
    <row r="642" ht="16.5" customHeight="1">
      <c r="A642" s="38"/>
      <c r="B642" s="39"/>
      <c r="C642" s="65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8"/>
    </row>
    <row r="643" ht="16.5" customHeight="1">
      <c r="A643" s="38"/>
      <c r="B643" s="39"/>
      <c r="C643" s="65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8"/>
    </row>
    <row r="644" ht="16.5" customHeight="1">
      <c r="A644" s="38"/>
      <c r="B644" s="39"/>
      <c r="C644" s="65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8"/>
    </row>
    <row r="645" ht="16.5" customHeight="1">
      <c r="A645" s="38"/>
      <c r="B645" s="39"/>
      <c r="C645" s="65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8"/>
    </row>
    <row r="646" ht="16.5" customHeight="1">
      <c r="A646" s="38"/>
      <c r="B646" s="39"/>
      <c r="C646" s="65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8"/>
    </row>
    <row r="647" ht="16.5" customHeight="1">
      <c r="A647" s="38"/>
      <c r="B647" s="39"/>
      <c r="C647" s="65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8"/>
    </row>
    <row r="648" ht="16.5" customHeight="1">
      <c r="A648" s="38"/>
      <c r="B648" s="39"/>
      <c r="C648" s="65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8"/>
    </row>
    <row r="649" ht="16.5" customHeight="1">
      <c r="A649" s="38"/>
      <c r="B649" s="39"/>
      <c r="C649" s="65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8"/>
    </row>
    <row r="650" ht="16.5" customHeight="1">
      <c r="A650" s="38"/>
      <c r="B650" s="39"/>
      <c r="C650" s="65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8"/>
    </row>
    <row r="651" ht="16.5" customHeight="1">
      <c r="A651" s="38"/>
      <c r="B651" s="39"/>
      <c r="C651" s="65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8"/>
    </row>
    <row r="652" ht="16.5" customHeight="1">
      <c r="A652" s="38"/>
      <c r="B652" s="39"/>
      <c r="C652" s="65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8"/>
    </row>
    <row r="653" ht="16.5" customHeight="1">
      <c r="A653" s="38"/>
      <c r="B653" s="39"/>
      <c r="C653" s="65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8"/>
    </row>
    <row r="654" ht="16.5" customHeight="1">
      <c r="A654" s="38"/>
      <c r="B654" s="39"/>
      <c r="C654" s="65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8"/>
    </row>
    <row r="655" ht="16.5" customHeight="1">
      <c r="A655" s="38"/>
      <c r="B655" s="39"/>
      <c r="C655" s="65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8"/>
    </row>
    <row r="656" ht="16.5" customHeight="1">
      <c r="A656" s="38"/>
      <c r="B656" s="39"/>
      <c r="C656" s="65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8"/>
    </row>
    <row r="657" ht="16.5" customHeight="1">
      <c r="A657" s="38"/>
      <c r="B657" s="39"/>
      <c r="C657" s="65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8"/>
    </row>
    <row r="658" ht="16.5" customHeight="1">
      <c r="A658" s="38"/>
      <c r="B658" s="39"/>
      <c r="C658" s="65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8"/>
    </row>
    <row r="659" ht="16.5" customHeight="1">
      <c r="A659" s="38"/>
      <c r="B659" s="39"/>
      <c r="C659" s="65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8"/>
    </row>
    <row r="660" ht="16.5" customHeight="1">
      <c r="A660" s="38"/>
      <c r="B660" s="39"/>
      <c r="C660" s="65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8"/>
    </row>
    <row r="661" ht="16.5" customHeight="1">
      <c r="A661" s="38"/>
      <c r="B661" s="39"/>
      <c r="C661" s="65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8"/>
    </row>
    <row r="662" ht="16.5" customHeight="1">
      <c r="A662" s="38"/>
      <c r="B662" s="39"/>
      <c r="C662" s="65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8"/>
    </row>
    <row r="663" ht="16.5" customHeight="1">
      <c r="A663" s="38"/>
      <c r="B663" s="39"/>
      <c r="C663" s="65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8"/>
    </row>
    <row r="664" ht="16.5" customHeight="1">
      <c r="A664" s="38"/>
      <c r="B664" s="39"/>
      <c r="C664" s="65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8"/>
    </row>
    <row r="665" ht="16.5" customHeight="1">
      <c r="A665" s="38"/>
      <c r="B665" s="39"/>
      <c r="C665" s="65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8"/>
    </row>
    <row r="666" ht="16.5" customHeight="1">
      <c r="A666" s="38"/>
      <c r="B666" s="39"/>
      <c r="C666" s="65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8"/>
    </row>
    <row r="667" ht="16.5" customHeight="1">
      <c r="A667" s="38"/>
      <c r="B667" s="39"/>
      <c r="C667" s="65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8"/>
    </row>
    <row r="668" ht="16.5" customHeight="1">
      <c r="A668" s="38"/>
      <c r="B668" s="39"/>
      <c r="C668" s="65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8"/>
    </row>
    <row r="669" ht="16.5" customHeight="1">
      <c r="A669" s="38"/>
      <c r="B669" s="39"/>
      <c r="C669" s="65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8"/>
    </row>
    <row r="670" ht="16.5" customHeight="1">
      <c r="A670" s="38"/>
      <c r="B670" s="39"/>
      <c r="C670" s="65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8"/>
    </row>
    <row r="671" ht="16.5" customHeight="1">
      <c r="A671" s="38"/>
      <c r="B671" s="39"/>
      <c r="C671" s="65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8"/>
    </row>
    <row r="672" ht="16.5" customHeight="1">
      <c r="A672" s="38"/>
      <c r="B672" s="39"/>
      <c r="C672" s="65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8"/>
    </row>
    <row r="673" ht="16.5" customHeight="1">
      <c r="A673" s="38"/>
      <c r="B673" s="39"/>
      <c r="C673" s="65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8"/>
    </row>
    <row r="674" ht="16.5" customHeight="1">
      <c r="A674" s="38"/>
      <c r="B674" s="39"/>
      <c r="C674" s="65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8"/>
    </row>
    <row r="675" ht="16.5" customHeight="1">
      <c r="A675" s="38"/>
      <c r="B675" s="39"/>
      <c r="C675" s="65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8"/>
    </row>
    <row r="676" ht="16.5" customHeight="1">
      <c r="A676" s="38"/>
      <c r="B676" s="39"/>
      <c r="C676" s="65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8"/>
    </row>
    <row r="677" ht="16.5" customHeight="1">
      <c r="A677" s="38"/>
      <c r="B677" s="39"/>
      <c r="C677" s="65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8"/>
    </row>
    <row r="678" ht="16.5" customHeight="1">
      <c r="A678" s="38"/>
      <c r="B678" s="39"/>
      <c r="C678" s="65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8"/>
    </row>
    <row r="679" ht="16.5" customHeight="1">
      <c r="A679" s="38"/>
      <c r="B679" s="39"/>
      <c r="C679" s="65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8"/>
    </row>
    <row r="680" ht="16.5" customHeight="1">
      <c r="A680" s="38"/>
      <c r="B680" s="39"/>
      <c r="C680" s="65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8"/>
    </row>
    <row r="681" ht="16.5" customHeight="1">
      <c r="A681" s="38"/>
      <c r="B681" s="39"/>
      <c r="C681" s="65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8"/>
    </row>
    <row r="682" ht="16.5" customHeight="1">
      <c r="A682" s="38"/>
      <c r="B682" s="39"/>
      <c r="C682" s="65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8"/>
    </row>
    <row r="683" ht="16.5" customHeight="1">
      <c r="A683" s="38"/>
      <c r="B683" s="39"/>
      <c r="C683" s="65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8"/>
    </row>
    <row r="684" ht="16.5" customHeight="1">
      <c r="A684" s="38"/>
      <c r="B684" s="39"/>
      <c r="C684" s="65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8"/>
    </row>
    <row r="685" ht="16.5" customHeight="1">
      <c r="A685" s="38"/>
      <c r="B685" s="39"/>
      <c r="C685" s="65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8"/>
    </row>
    <row r="686" ht="16.5" customHeight="1">
      <c r="A686" s="38"/>
      <c r="B686" s="39"/>
      <c r="C686" s="65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8"/>
    </row>
    <row r="687" ht="16.5" customHeight="1">
      <c r="A687" s="38"/>
      <c r="B687" s="39"/>
      <c r="C687" s="65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8"/>
    </row>
    <row r="688" ht="16.5" customHeight="1">
      <c r="A688" s="38"/>
      <c r="B688" s="39"/>
      <c r="C688" s="65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8"/>
    </row>
    <row r="689" ht="16.5" customHeight="1">
      <c r="A689" s="38"/>
      <c r="B689" s="39"/>
      <c r="C689" s="65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8"/>
    </row>
    <row r="690" ht="16.5" customHeight="1">
      <c r="A690" s="38"/>
      <c r="B690" s="39"/>
      <c r="C690" s="65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8"/>
    </row>
    <row r="691" ht="16.5" customHeight="1">
      <c r="A691" s="38"/>
      <c r="B691" s="39"/>
      <c r="C691" s="65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8"/>
    </row>
    <row r="692" ht="16.5" customHeight="1">
      <c r="A692" s="38"/>
      <c r="B692" s="39"/>
      <c r="C692" s="65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8"/>
    </row>
    <row r="693" ht="16.5" customHeight="1">
      <c r="A693" s="38"/>
      <c r="B693" s="39"/>
      <c r="C693" s="65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8"/>
    </row>
    <row r="694" ht="16.5" customHeight="1">
      <c r="A694" s="38"/>
      <c r="B694" s="39"/>
      <c r="C694" s="65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8"/>
    </row>
    <row r="695" ht="16.5" customHeight="1">
      <c r="A695" s="38"/>
      <c r="B695" s="39"/>
      <c r="C695" s="65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8"/>
    </row>
    <row r="696" ht="16.5" customHeight="1">
      <c r="A696" s="38"/>
      <c r="B696" s="39"/>
      <c r="C696" s="65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8"/>
    </row>
    <row r="697" ht="16.5" customHeight="1">
      <c r="A697" s="38"/>
      <c r="B697" s="39"/>
      <c r="C697" s="65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8"/>
    </row>
    <row r="698" ht="16.5" customHeight="1">
      <c r="A698" s="38"/>
      <c r="B698" s="39"/>
      <c r="C698" s="65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8"/>
    </row>
    <row r="699" ht="16.5" customHeight="1">
      <c r="A699" s="38"/>
      <c r="B699" s="39"/>
      <c r="C699" s="65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8"/>
    </row>
    <row r="700" ht="16.5" customHeight="1">
      <c r="A700" s="38"/>
      <c r="B700" s="39"/>
      <c r="C700" s="65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8"/>
    </row>
    <row r="701" ht="16.5" customHeight="1">
      <c r="A701" s="38"/>
      <c r="B701" s="39"/>
      <c r="C701" s="65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8"/>
    </row>
    <row r="702" ht="16.5" customHeight="1">
      <c r="A702" s="38"/>
      <c r="B702" s="39"/>
      <c r="C702" s="65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8"/>
    </row>
    <row r="703" ht="16.5" customHeight="1">
      <c r="A703" s="38"/>
      <c r="B703" s="39"/>
      <c r="C703" s="65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8"/>
    </row>
    <row r="704" ht="16.5" customHeight="1">
      <c r="A704" s="38"/>
      <c r="B704" s="39"/>
      <c r="C704" s="65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8"/>
    </row>
    <row r="705" ht="16.5" customHeight="1">
      <c r="A705" s="38"/>
      <c r="B705" s="39"/>
      <c r="C705" s="65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8"/>
    </row>
    <row r="706" ht="16.5" customHeight="1">
      <c r="A706" s="38"/>
      <c r="B706" s="39"/>
      <c r="C706" s="65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8"/>
    </row>
    <row r="707" ht="16.5" customHeight="1">
      <c r="A707" s="38"/>
      <c r="B707" s="39"/>
      <c r="C707" s="65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8"/>
    </row>
    <row r="708" ht="16.5" customHeight="1">
      <c r="A708" s="38"/>
      <c r="B708" s="39"/>
      <c r="C708" s="65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8"/>
    </row>
    <row r="709" ht="16.5" customHeight="1">
      <c r="A709" s="38"/>
      <c r="B709" s="39"/>
      <c r="C709" s="65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8"/>
    </row>
    <row r="710" ht="16.5" customHeight="1">
      <c r="A710" s="38"/>
      <c r="B710" s="39"/>
      <c r="C710" s="65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8"/>
    </row>
    <row r="711" ht="16.5" customHeight="1">
      <c r="A711" s="38"/>
      <c r="B711" s="39"/>
      <c r="C711" s="65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8"/>
    </row>
    <row r="712" ht="16.5" customHeight="1">
      <c r="A712" s="38"/>
      <c r="B712" s="39"/>
      <c r="C712" s="65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8"/>
    </row>
    <row r="713" ht="16.5" customHeight="1">
      <c r="A713" s="38"/>
      <c r="B713" s="39"/>
      <c r="C713" s="65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8"/>
    </row>
    <row r="714" ht="16.5" customHeight="1">
      <c r="A714" s="38"/>
      <c r="B714" s="39"/>
      <c r="C714" s="65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8"/>
    </row>
    <row r="715" ht="16.5" customHeight="1">
      <c r="A715" s="38"/>
      <c r="B715" s="39"/>
      <c r="C715" s="65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8"/>
    </row>
    <row r="716" ht="16.5" customHeight="1">
      <c r="A716" s="38"/>
      <c r="B716" s="39"/>
      <c r="C716" s="65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8"/>
    </row>
    <row r="717" ht="16.5" customHeight="1">
      <c r="A717" s="38"/>
      <c r="B717" s="39"/>
      <c r="C717" s="65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8"/>
    </row>
    <row r="718" ht="16.5" customHeight="1">
      <c r="A718" s="38"/>
      <c r="B718" s="39"/>
      <c r="C718" s="65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8"/>
    </row>
    <row r="719" ht="16.5" customHeight="1">
      <c r="A719" s="38"/>
      <c r="B719" s="39"/>
      <c r="C719" s="65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8"/>
    </row>
    <row r="720" ht="16.5" customHeight="1">
      <c r="A720" s="38"/>
      <c r="B720" s="39"/>
      <c r="C720" s="65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8"/>
    </row>
    <row r="721" ht="16.5" customHeight="1">
      <c r="A721" s="38"/>
      <c r="B721" s="39"/>
      <c r="C721" s="65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8"/>
    </row>
    <row r="722" ht="16.5" customHeight="1">
      <c r="A722" s="38"/>
      <c r="B722" s="39"/>
      <c r="C722" s="65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8"/>
    </row>
    <row r="723" ht="16.5" customHeight="1">
      <c r="A723" s="38"/>
      <c r="B723" s="39"/>
      <c r="C723" s="65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8"/>
    </row>
    <row r="724" ht="16.5" customHeight="1">
      <c r="A724" s="38"/>
      <c r="B724" s="39"/>
      <c r="C724" s="65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8"/>
    </row>
    <row r="725" ht="16.5" customHeight="1">
      <c r="A725" s="38"/>
      <c r="B725" s="39"/>
      <c r="C725" s="65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8"/>
    </row>
    <row r="726" ht="16.5" customHeight="1">
      <c r="A726" s="38"/>
      <c r="B726" s="39"/>
      <c r="C726" s="65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8"/>
    </row>
    <row r="727" ht="16.5" customHeight="1">
      <c r="A727" s="38"/>
      <c r="B727" s="39"/>
      <c r="C727" s="65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8"/>
    </row>
    <row r="728" ht="16.5" customHeight="1">
      <c r="A728" s="38"/>
      <c r="B728" s="39"/>
      <c r="C728" s="65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8"/>
    </row>
    <row r="729" ht="16.5" customHeight="1">
      <c r="A729" s="38"/>
      <c r="B729" s="39"/>
      <c r="C729" s="65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8"/>
    </row>
    <row r="730" ht="16.5" customHeight="1">
      <c r="A730" s="38"/>
      <c r="B730" s="39"/>
      <c r="C730" s="65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8"/>
    </row>
    <row r="731" ht="16.5" customHeight="1">
      <c r="A731" s="38"/>
      <c r="B731" s="39"/>
      <c r="C731" s="65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8"/>
    </row>
    <row r="732" ht="16.5" customHeight="1">
      <c r="A732" s="38"/>
      <c r="B732" s="39"/>
      <c r="C732" s="65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8"/>
    </row>
    <row r="733" ht="16.5" customHeight="1">
      <c r="A733" s="38"/>
      <c r="B733" s="39"/>
      <c r="C733" s="65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8"/>
    </row>
    <row r="734" ht="16.5" customHeight="1">
      <c r="A734" s="38"/>
      <c r="B734" s="39"/>
      <c r="C734" s="65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8"/>
    </row>
    <row r="735" ht="16.5" customHeight="1">
      <c r="A735" s="38"/>
      <c r="B735" s="39"/>
      <c r="C735" s="65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8"/>
    </row>
    <row r="736" ht="16.5" customHeight="1">
      <c r="A736" s="38"/>
      <c r="B736" s="39"/>
      <c r="C736" s="65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8"/>
    </row>
    <row r="737" ht="16.5" customHeight="1">
      <c r="A737" s="38"/>
      <c r="B737" s="39"/>
      <c r="C737" s="65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8"/>
    </row>
    <row r="738" ht="16.5" customHeight="1">
      <c r="A738" s="38"/>
      <c r="B738" s="39"/>
      <c r="C738" s="65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8"/>
    </row>
    <row r="739" ht="16.5" customHeight="1">
      <c r="A739" s="38"/>
      <c r="B739" s="39"/>
      <c r="C739" s="65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8"/>
    </row>
    <row r="740" ht="16.5" customHeight="1">
      <c r="A740" s="38"/>
      <c r="B740" s="39"/>
      <c r="C740" s="65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8"/>
    </row>
    <row r="741" ht="16.5" customHeight="1">
      <c r="A741" s="38"/>
      <c r="B741" s="39"/>
      <c r="C741" s="65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8"/>
    </row>
    <row r="742" ht="16.5" customHeight="1">
      <c r="A742" s="38"/>
      <c r="B742" s="39"/>
      <c r="C742" s="65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8"/>
    </row>
    <row r="743" ht="16.5" customHeight="1">
      <c r="A743" s="38"/>
      <c r="B743" s="39"/>
      <c r="C743" s="65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8"/>
    </row>
    <row r="744" ht="16.5" customHeight="1">
      <c r="A744" s="38"/>
      <c r="B744" s="39"/>
      <c r="C744" s="65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8"/>
    </row>
    <row r="745" ht="16.5" customHeight="1">
      <c r="A745" s="38"/>
      <c r="B745" s="39"/>
      <c r="C745" s="65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8"/>
    </row>
    <row r="746" ht="16.5" customHeight="1">
      <c r="A746" s="38"/>
      <c r="B746" s="39"/>
      <c r="C746" s="65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8"/>
    </row>
    <row r="747" ht="16.5" customHeight="1">
      <c r="A747" s="38"/>
      <c r="B747" s="39"/>
      <c r="C747" s="65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8"/>
    </row>
    <row r="748" ht="16.5" customHeight="1">
      <c r="A748" s="38"/>
      <c r="B748" s="39"/>
      <c r="C748" s="65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8"/>
    </row>
    <row r="749" ht="16.5" customHeight="1">
      <c r="A749" s="38"/>
      <c r="B749" s="39"/>
      <c r="C749" s="65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8"/>
    </row>
    <row r="750" ht="16.5" customHeight="1">
      <c r="A750" s="38"/>
      <c r="B750" s="39"/>
      <c r="C750" s="65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8"/>
    </row>
    <row r="751" ht="16.5" customHeight="1">
      <c r="A751" s="38"/>
      <c r="B751" s="39"/>
      <c r="C751" s="65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8"/>
    </row>
    <row r="752" ht="16.5" customHeight="1">
      <c r="A752" s="38"/>
      <c r="B752" s="39"/>
      <c r="C752" s="65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8"/>
    </row>
    <row r="753" ht="16.5" customHeight="1">
      <c r="A753" s="38"/>
      <c r="B753" s="39"/>
      <c r="C753" s="65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8"/>
    </row>
    <row r="754" ht="16.5" customHeight="1">
      <c r="A754" s="38"/>
      <c r="B754" s="39"/>
      <c r="C754" s="65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8"/>
    </row>
    <row r="755" ht="16.5" customHeight="1">
      <c r="A755" s="38"/>
      <c r="B755" s="39"/>
      <c r="C755" s="65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8"/>
    </row>
    <row r="756" ht="16.5" customHeight="1">
      <c r="A756" s="38"/>
      <c r="B756" s="39"/>
      <c r="C756" s="65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8"/>
    </row>
    <row r="757" ht="16.5" customHeight="1">
      <c r="A757" s="38"/>
      <c r="B757" s="39"/>
      <c r="C757" s="65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8"/>
    </row>
    <row r="758" ht="16.5" customHeight="1">
      <c r="A758" s="38"/>
      <c r="B758" s="39"/>
      <c r="C758" s="65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8"/>
    </row>
    <row r="759" ht="16.5" customHeight="1">
      <c r="A759" s="38"/>
      <c r="B759" s="39"/>
      <c r="C759" s="65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8"/>
    </row>
    <row r="760" ht="16.5" customHeight="1">
      <c r="A760" s="38"/>
      <c r="B760" s="39"/>
      <c r="C760" s="65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8"/>
    </row>
    <row r="761" ht="16.5" customHeight="1">
      <c r="A761" s="38"/>
      <c r="B761" s="39"/>
      <c r="C761" s="65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8"/>
    </row>
    <row r="762" ht="16.5" customHeight="1">
      <c r="A762" s="38"/>
      <c r="B762" s="39"/>
      <c r="C762" s="65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8"/>
    </row>
    <row r="763" ht="16.5" customHeight="1">
      <c r="A763" s="38"/>
      <c r="B763" s="39"/>
      <c r="C763" s="65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8"/>
    </row>
    <row r="764" ht="16.5" customHeight="1">
      <c r="A764" s="38"/>
      <c r="B764" s="39"/>
      <c r="C764" s="65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8"/>
    </row>
    <row r="765" ht="16.5" customHeight="1">
      <c r="A765" s="38"/>
      <c r="B765" s="39"/>
      <c r="C765" s="65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8"/>
    </row>
    <row r="766" ht="16.5" customHeight="1">
      <c r="A766" s="38"/>
      <c r="B766" s="39"/>
      <c r="C766" s="65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8"/>
    </row>
    <row r="767" ht="16.5" customHeight="1">
      <c r="A767" s="38"/>
      <c r="B767" s="39"/>
      <c r="C767" s="65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8"/>
    </row>
    <row r="768" ht="16.5" customHeight="1">
      <c r="A768" s="38"/>
      <c r="B768" s="39"/>
      <c r="C768" s="65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8"/>
    </row>
    <row r="769" ht="16.5" customHeight="1">
      <c r="A769" s="38"/>
      <c r="B769" s="39"/>
      <c r="C769" s="65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8"/>
    </row>
    <row r="770" ht="16.5" customHeight="1">
      <c r="A770" s="38"/>
      <c r="B770" s="39"/>
      <c r="C770" s="65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8"/>
    </row>
    <row r="771" ht="16.5" customHeight="1">
      <c r="A771" s="38"/>
      <c r="B771" s="39"/>
      <c r="C771" s="65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8"/>
    </row>
    <row r="772" ht="16.5" customHeight="1">
      <c r="A772" s="38"/>
      <c r="B772" s="39"/>
      <c r="C772" s="65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8"/>
    </row>
    <row r="773" ht="16.5" customHeight="1">
      <c r="A773" s="38"/>
      <c r="B773" s="39"/>
      <c r="C773" s="65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8"/>
    </row>
    <row r="774" ht="16.5" customHeight="1">
      <c r="A774" s="38"/>
      <c r="B774" s="39"/>
      <c r="C774" s="65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8"/>
    </row>
    <row r="775" ht="16.5" customHeight="1">
      <c r="A775" s="38"/>
      <c r="B775" s="39"/>
      <c r="C775" s="65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8"/>
    </row>
    <row r="776" ht="16.5" customHeight="1">
      <c r="A776" s="38"/>
      <c r="B776" s="39"/>
      <c r="C776" s="65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8"/>
    </row>
    <row r="777" ht="16.5" customHeight="1">
      <c r="A777" s="38"/>
      <c r="B777" s="39"/>
      <c r="C777" s="65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8"/>
    </row>
    <row r="778" ht="16.5" customHeight="1">
      <c r="A778" s="38"/>
      <c r="B778" s="39"/>
      <c r="C778" s="65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8"/>
    </row>
    <row r="779" ht="16.5" customHeight="1">
      <c r="A779" s="38"/>
      <c r="B779" s="39"/>
      <c r="C779" s="65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8"/>
    </row>
    <row r="780" ht="16.5" customHeight="1">
      <c r="A780" s="38"/>
      <c r="B780" s="39"/>
      <c r="C780" s="65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8"/>
    </row>
    <row r="781" ht="16.5" customHeight="1">
      <c r="A781" s="38"/>
      <c r="B781" s="39"/>
      <c r="C781" s="65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8"/>
    </row>
    <row r="782" ht="16.5" customHeight="1">
      <c r="A782" s="38"/>
      <c r="B782" s="39"/>
      <c r="C782" s="65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8"/>
    </row>
    <row r="783" ht="16.5" customHeight="1">
      <c r="A783" s="38"/>
      <c r="B783" s="39"/>
      <c r="C783" s="65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8"/>
    </row>
    <row r="784" ht="16.5" customHeight="1">
      <c r="A784" s="38"/>
      <c r="B784" s="39"/>
      <c r="C784" s="65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8"/>
    </row>
    <row r="785" ht="16.5" customHeight="1">
      <c r="A785" s="38"/>
      <c r="B785" s="39"/>
      <c r="C785" s="65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8"/>
    </row>
    <row r="786" ht="16.5" customHeight="1">
      <c r="A786" s="38"/>
      <c r="B786" s="39"/>
      <c r="C786" s="65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8"/>
    </row>
    <row r="787" ht="16.5" customHeight="1">
      <c r="A787" s="38"/>
      <c r="B787" s="39"/>
      <c r="C787" s="65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8"/>
    </row>
    <row r="788" ht="16.5" customHeight="1">
      <c r="A788" s="38"/>
      <c r="B788" s="39"/>
      <c r="C788" s="65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8"/>
    </row>
    <row r="789" ht="16.5" customHeight="1">
      <c r="A789" s="38"/>
      <c r="B789" s="39"/>
      <c r="C789" s="65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8"/>
    </row>
    <row r="790" ht="16.5" customHeight="1">
      <c r="A790" s="38"/>
      <c r="B790" s="39"/>
      <c r="C790" s="65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8"/>
    </row>
    <row r="791" ht="16.5" customHeight="1">
      <c r="A791" s="38"/>
      <c r="B791" s="39"/>
      <c r="C791" s="65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8"/>
    </row>
    <row r="792" ht="16.5" customHeight="1">
      <c r="A792" s="38"/>
      <c r="B792" s="39"/>
      <c r="C792" s="65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8"/>
    </row>
    <row r="793" ht="16.5" customHeight="1">
      <c r="A793" s="38"/>
      <c r="B793" s="39"/>
      <c r="C793" s="65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8"/>
    </row>
    <row r="794" ht="16.5" customHeight="1">
      <c r="A794" s="38"/>
      <c r="B794" s="39"/>
      <c r="C794" s="65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8"/>
    </row>
    <row r="795" ht="16.5" customHeight="1">
      <c r="A795" s="38"/>
      <c r="B795" s="39"/>
      <c r="C795" s="65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8"/>
    </row>
    <row r="796" ht="16.5" customHeight="1">
      <c r="A796" s="38"/>
      <c r="B796" s="39"/>
      <c r="C796" s="65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8"/>
    </row>
    <row r="797" ht="16.5" customHeight="1">
      <c r="A797" s="38"/>
      <c r="B797" s="39"/>
      <c r="C797" s="65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8"/>
    </row>
    <row r="798" ht="16.5" customHeight="1">
      <c r="A798" s="38"/>
      <c r="B798" s="39"/>
      <c r="C798" s="65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8"/>
    </row>
    <row r="799" ht="16.5" customHeight="1">
      <c r="A799" s="38"/>
      <c r="B799" s="39"/>
      <c r="C799" s="65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8"/>
    </row>
    <row r="800" ht="16.5" customHeight="1">
      <c r="A800" s="38"/>
      <c r="B800" s="39"/>
      <c r="C800" s="65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8"/>
    </row>
    <row r="801" ht="16.5" customHeight="1">
      <c r="A801" s="38"/>
      <c r="B801" s="39"/>
      <c r="C801" s="65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8"/>
    </row>
    <row r="802" ht="16.5" customHeight="1">
      <c r="A802" s="38"/>
      <c r="B802" s="39"/>
      <c r="C802" s="65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8"/>
    </row>
    <row r="803" ht="16.5" customHeight="1">
      <c r="A803" s="38"/>
      <c r="B803" s="39"/>
      <c r="C803" s="65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8"/>
    </row>
    <row r="804" ht="16.5" customHeight="1">
      <c r="A804" s="38"/>
      <c r="B804" s="39"/>
      <c r="C804" s="65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8"/>
    </row>
    <row r="805" ht="16.5" customHeight="1">
      <c r="A805" s="38"/>
      <c r="B805" s="39"/>
      <c r="C805" s="65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8"/>
    </row>
    <row r="806" ht="16.5" customHeight="1">
      <c r="A806" s="38"/>
      <c r="B806" s="39"/>
      <c r="C806" s="65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8"/>
    </row>
    <row r="807" ht="16.5" customHeight="1">
      <c r="A807" s="38"/>
      <c r="B807" s="39"/>
      <c r="C807" s="65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8"/>
    </row>
    <row r="808" ht="16.5" customHeight="1">
      <c r="A808" s="38"/>
      <c r="B808" s="39"/>
      <c r="C808" s="65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8"/>
    </row>
    <row r="809" ht="16.5" customHeight="1">
      <c r="A809" s="38"/>
      <c r="B809" s="39"/>
      <c r="C809" s="65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8"/>
    </row>
    <row r="810" ht="16.5" customHeight="1">
      <c r="A810" s="38"/>
      <c r="B810" s="39"/>
      <c r="C810" s="65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8"/>
    </row>
    <row r="811" ht="16.5" customHeight="1">
      <c r="A811" s="38"/>
      <c r="B811" s="39"/>
      <c r="C811" s="65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8"/>
    </row>
    <row r="812" ht="16.5" customHeight="1">
      <c r="A812" s="38"/>
      <c r="B812" s="39"/>
      <c r="C812" s="65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8"/>
    </row>
    <row r="813" ht="16.5" customHeight="1">
      <c r="A813" s="38"/>
      <c r="B813" s="39"/>
      <c r="C813" s="65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8"/>
    </row>
    <row r="814" ht="16.5" customHeight="1">
      <c r="A814" s="38"/>
      <c r="B814" s="39"/>
      <c r="C814" s="65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8"/>
    </row>
    <row r="815" ht="16.5" customHeight="1">
      <c r="A815" s="38"/>
      <c r="B815" s="39"/>
      <c r="C815" s="65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8"/>
    </row>
    <row r="816" ht="16.5" customHeight="1">
      <c r="A816" s="38"/>
      <c r="B816" s="39"/>
      <c r="C816" s="65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8"/>
    </row>
    <row r="817" ht="16.5" customHeight="1">
      <c r="A817" s="38"/>
      <c r="B817" s="39"/>
      <c r="C817" s="65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8"/>
    </row>
    <row r="818" ht="16.5" customHeight="1">
      <c r="A818" s="38"/>
      <c r="B818" s="39"/>
      <c r="C818" s="65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8"/>
    </row>
    <row r="819" ht="16.5" customHeight="1">
      <c r="A819" s="38"/>
      <c r="B819" s="39"/>
      <c r="C819" s="65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8"/>
    </row>
    <row r="820" ht="16.5" customHeight="1">
      <c r="A820" s="38"/>
      <c r="B820" s="39"/>
      <c r="C820" s="65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8"/>
    </row>
    <row r="821" ht="16.5" customHeight="1">
      <c r="A821" s="38"/>
      <c r="B821" s="39"/>
      <c r="C821" s="65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8"/>
    </row>
    <row r="822" ht="16.5" customHeight="1">
      <c r="A822" s="38"/>
      <c r="B822" s="39"/>
      <c r="C822" s="65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8"/>
    </row>
    <row r="823" ht="16.5" customHeight="1">
      <c r="A823" s="38"/>
      <c r="B823" s="39"/>
      <c r="C823" s="65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8"/>
    </row>
    <row r="824" ht="16.5" customHeight="1">
      <c r="A824" s="38"/>
      <c r="B824" s="39"/>
      <c r="C824" s="65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8"/>
    </row>
    <row r="825" ht="16.5" customHeight="1">
      <c r="A825" s="38"/>
      <c r="B825" s="39"/>
      <c r="C825" s="65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8"/>
    </row>
    <row r="826" ht="16.5" customHeight="1">
      <c r="A826" s="38"/>
      <c r="B826" s="39"/>
      <c r="C826" s="65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8"/>
    </row>
    <row r="827" ht="16.5" customHeight="1">
      <c r="A827" s="38"/>
      <c r="B827" s="39"/>
      <c r="C827" s="65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8"/>
    </row>
    <row r="828" ht="16.5" customHeight="1">
      <c r="A828" s="38"/>
      <c r="B828" s="39"/>
      <c r="C828" s="65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8"/>
    </row>
    <row r="829" ht="16.5" customHeight="1">
      <c r="A829" s="38"/>
      <c r="B829" s="39"/>
      <c r="C829" s="65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8"/>
    </row>
    <row r="830" ht="16.5" customHeight="1">
      <c r="A830" s="38"/>
      <c r="B830" s="39"/>
      <c r="C830" s="65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8"/>
    </row>
    <row r="831" ht="16.5" customHeight="1">
      <c r="A831" s="38"/>
      <c r="B831" s="39"/>
      <c r="C831" s="65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8"/>
    </row>
    <row r="832" ht="16.5" customHeight="1">
      <c r="A832" s="38"/>
      <c r="B832" s="39"/>
      <c r="C832" s="65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8"/>
    </row>
    <row r="833" ht="16.5" customHeight="1">
      <c r="A833" s="38"/>
      <c r="B833" s="39"/>
      <c r="C833" s="65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8"/>
    </row>
    <row r="834" ht="16.5" customHeight="1">
      <c r="A834" s="38"/>
      <c r="B834" s="39"/>
      <c r="C834" s="65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8"/>
    </row>
    <row r="835" ht="16.5" customHeight="1">
      <c r="A835" s="38"/>
      <c r="B835" s="39"/>
      <c r="C835" s="65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8"/>
    </row>
    <row r="836" ht="16.5" customHeight="1">
      <c r="A836" s="38"/>
      <c r="B836" s="39"/>
      <c r="C836" s="65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8"/>
    </row>
    <row r="837" ht="16.5" customHeight="1">
      <c r="A837" s="38"/>
      <c r="B837" s="39"/>
      <c r="C837" s="65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8"/>
    </row>
    <row r="838" ht="16.5" customHeight="1">
      <c r="A838" s="38"/>
      <c r="B838" s="39"/>
      <c r="C838" s="65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8"/>
    </row>
    <row r="839" ht="16.5" customHeight="1">
      <c r="A839" s="38"/>
      <c r="B839" s="39"/>
      <c r="C839" s="65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8"/>
    </row>
    <row r="840" ht="16.5" customHeight="1">
      <c r="A840" s="38"/>
      <c r="B840" s="39"/>
      <c r="C840" s="65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8"/>
    </row>
    <row r="841" ht="16.5" customHeight="1">
      <c r="A841" s="38"/>
      <c r="B841" s="39"/>
      <c r="C841" s="65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8"/>
    </row>
    <row r="842" ht="16.5" customHeight="1">
      <c r="A842" s="38"/>
      <c r="B842" s="39"/>
      <c r="C842" s="65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8"/>
    </row>
    <row r="843" ht="16.5" customHeight="1">
      <c r="A843" s="38"/>
      <c r="B843" s="39"/>
      <c r="C843" s="65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8"/>
    </row>
    <row r="844" ht="16.5" customHeight="1">
      <c r="A844" s="38"/>
      <c r="B844" s="39"/>
      <c r="C844" s="65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8"/>
    </row>
    <row r="845" ht="16.5" customHeight="1">
      <c r="A845" s="38"/>
      <c r="B845" s="39"/>
      <c r="C845" s="65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8"/>
    </row>
    <row r="846" ht="16.5" customHeight="1">
      <c r="A846" s="38"/>
      <c r="B846" s="39"/>
      <c r="C846" s="65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8"/>
    </row>
    <row r="847" ht="16.5" customHeight="1">
      <c r="A847" s="38"/>
      <c r="B847" s="39"/>
      <c r="C847" s="65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8"/>
    </row>
    <row r="848" ht="16.5" customHeight="1">
      <c r="A848" s="38"/>
      <c r="B848" s="39"/>
      <c r="C848" s="65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8"/>
    </row>
    <row r="849" ht="16.5" customHeight="1">
      <c r="A849" s="38"/>
      <c r="B849" s="39"/>
      <c r="C849" s="65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8"/>
    </row>
    <row r="850" ht="16.5" customHeight="1">
      <c r="A850" s="38"/>
      <c r="B850" s="39"/>
      <c r="C850" s="65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8"/>
    </row>
    <row r="851" ht="16.5" customHeight="1">
      <c r="A851" s="38"/>
      <c r="B851" s="39"/>
      <c r="C851" s="65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8"/>
    </row>
    <row r="852" ht="16.5" customHeight="1">
      <c r="A852" s="38"/>
      <c r="B852" s="39"/>
      <c r="C852" s="65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8"/>
    </row>
    <row r="853" ht="16.5" customHeight="1">
      <c r="A853" s="38"/>
      <c r="B853" s="39"/>
      <c r="C853" s="65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8"/>
    </row>
    <row r="854" ht="16.5" customHeight="1">
      <c r="A854" s="38"/>
      <c r="B854" s="39"/>
      <c r="C854" s="65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8"/>
    </row>
    <row r="855" ht="16.5" customHeight="1">
      <c r="A855" s="38"/>
      <c r="B855" s="39"/>
      <c r="C855" s="65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8"/>
    </row>
    <row r="856" ht="16.5" customHeight="1">
      <c r="A856" s="38"/>
      <c r="B856" s="39"/>
      <c r="C856" s="65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8"/>
    </row>
    <row r="857" ht="16.5" customHeight="1">
      <c r="A857" s="38"/>
      <c r="B857" s="39"/>
      <c r="C857" s="65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8"/>
    </row>
    <row r="858" ht="16.5" customHeight="1">
      <c r="A858" s="38"/>
      <c r="B858" s="39"/>
      <c r="C858" s="65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8"/>
    </row>
    <row r="859" ht="16.5" customHeight="1">
      <c r="A859" s="38"/>
      <c r="B859" s="39"/>
      <c r="C859" s="65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8"/>
    </row>
    <row r="860" ht="16.5" customHeight="1">
      <c r="A860" s="38"/>
      <c r="B860" s="39"/>
      <c r="C860" s="65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8"/>
    </row>
    <row r="861" ht="16.5" customHeight="1">
      <c r="A861" s="38"/>
      <c r="B861" s="39"/>
      <c r="C861" s="65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8"/>
    </row>
    <row r="862" ht="16.5" customHeight="1">
      <c r="A862" s="38"/>
      <c r="B862" s="39"/>
      <c r="C862" s="65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8"/>
    </row>
    <row r="863" ht="16.5" customHeight="1">
      <c r="A863" s="38"/>
      <c r="B863" s="39"/>
      <c r="C863" s="65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8"/>
    </row>
    <row r="864" ht="16.5" customHeight="1">
      <c r="A864" s="38"/>
      <c r="B864" s="39"/>
      <c r="C864" s="65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8"/>
    </row>
    <row r="865" ht="16.5" customHeight="1">
      <c r="A865" s="38"/>
      <c r="B865" s="39"/>
      <c r="C865" s="65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8"/>
    </row>
    <row r="866" ht="16.5" customHeight="1">
      <c r="A866" s="38"/>
      <c r="B866" s="39"/>
      <c r="C866" s="65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8"/>
    </row>
    <row r="867" ht="16.5" customHeight="1">
      <c r="A867" s="38"/>
      <c r="B867" s="39"/>
      <c r="C867" s="65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8"/>
    </row>
    <row r="868" ht="16.5" customHeight="1">
      <c r="A868" s="38"/>
      <c r="B868" s="39"/>
      <c r="C868" s="65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8"/>
    </row>
    <row r="869" ht="16.5" customHeight="1">
      <c r="A869" s="38"/>
      <c r="B869" s="39"/>
      <c r="C869" s="65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8"/>
    </row>
    <row r="870" ht="16.5" customHeight="1">
      <c r="A870" s="38"/>
      <c r="B870" s="39"/>
      <c r="C870" s="65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8"/>
    </row>
    <row r="871" ht="16.5" customHeight="1">
      <c r="A871" s="38"/>
      <c r="B871" s="39"/>
      <c r="C871" s="65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8"/>
    </row>
    <row r="872" ht="16.5" customHeight="1">
      <c r="A872" s="38"/>
      <c r="B872" s="39"/>
      <c r="C872" s="65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8"/>
    </row>
    <row r="873" ht="16.5" customHeight="1">
      <c r="A873" s="38"/>
      <c r="B873" s="39"/>
      <c r="C873" s="65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8"/>
    </row>
    <row r="874" ht="16.5" customHeight="1">
      <c r="A874" s="38"/>
      <c r="B874" s="39"/>
      <c r="C874" s="65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8"/>
    </row>
    <row r="875" ht="16.5" customHeight="1">
      <c r="A875" s="38"/>
      <c r="B875" s="39"/>
      <c r="C875" s="65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8"/>
    </row>
    <row r="876" ht="16.5" customHeight="1">
      <c r="A876" s="38"/>
      <c r="B876" s="39"/>
      <c r="C876" s="65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8"/>
    </row>
    <row r="877" ht="16.5" customHeight="1">
      <c r="A877" s="38"/>
      <c r="B877" s="39"/>
      <c r="C877" s="65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8"/>
    </row>
    <row r="878" ht="16.5" customHeight="1">
      <c r="A878" s="38"/>
      <c r="B878" s="39"/>
      <c r="C878" s="65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8"/>
    </row>
    <row r="879" ht="16.5" customHeight="1">
      <c r="A879" s="38"/>
      <c r="B879" s="39"/>
      <c r="C879" s="65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8"/>
    </row>
    <row r="880" ht="16.5" customHeight="1">
      <c r="A880" s="38"/>
      <c r="B880" s="39"/>
      <c r="C880" s="65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8"/>
    </row>
    <row r="881" ht="16.5" customHeight="1">
      <c r="A881" s="38"/>
      <c r="B881" s="39"/>
      <c r="C881" s="65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8"/>
    </row>
    <row r="882" ht="16.5" customHeight="1">
      <c r="A882" s="38"/>
      <c r="B882" s="39"/>
      <c r="C882" s="65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8"/>
    </row>
    <row r="883" ht="16.5" customHeight="1">
      <c r="A883" s="38"/>
      <c r="B883" s="39"/>
      <c r="C883" s="65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8"/>
    </row>
    <row r="884" ht="16.5" customHeight="1">
      <c r="A884" s="38"/>
      <c r="B884" s="39"/>
      <c r="C884" s="65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8"/>
    </row>
    <row r="885" ht="16.5" customHeight="1">
      <c r="A885" s="38"/>
      <c r="B885" s="39"/>
      <c r="C885" s="65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8"/>
    </row>
    <row r="886" ht="16.5" customHeight="1">
      <c r="A886" s="38"/>
      <c r="B886" s="39"/>
      <c r="C886" s="65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8"/>
    </row>
    <row r="887" ht="16.5" customHeight="1">
      <c r="A887" s="38"/>
      <c r="B887" s="39"/>
      <c r="C887" s="65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8"/>
    </row>
    <row r="888" ht="16.5" customHeight="1">
      <c r="A888" s="38"/>
      <c r="B888" s="39"/>
      <c r="C888" s="65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8"/>
    </row>
    <row r="889" ht="16.5" customHeight="1">
      <c r="A889" s="38"/>
      <c r="B889" s="39"/>
      <c r="C889" s="65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8"/>
    </row>
    <row r="890" ht="16.5" customHeight="1">
      <c r="A890" s="38"/>
      <c r="B890" s="39"/>
      <c r="C890" s="65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8"/>
    </row>
    <row r="891" ht="16.5" customHeight="1">
      <c r="A891" s="38"/>
      <c r="B891" s="39"/>
      <c r="C891" s="65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8"/>
    </row>
    <row r="892" ht="16.5" customHeight="1">
      <c r="A892" s="38"/>
      <c r="B892" s="39"/>
      <c r="C892" s="65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8"/>
    </row>
    <row r="893" ht="16.5" customHeight="1">
      <c r="A893" s="38"/>
      <c r="B893" s="39"/>
      <c r="C893" s="65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8"/>
    </row>
    <row r="894" ht="16.5" customHeight="1">
      <c r="A894" s="38"/>
      <c r="B894" s="39"/>
      <c r="C894" s="65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8"/>
    </row>
    <row r="895" ht="16.5" customHeight="1">
      <c r="A895" s="38"/>
      <c r="B895" s="39"/>
      <c r="C895" s="65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8"/>
    </row>
    <row r="896" ht="16.5" customHeight="1">
      <c r="A896" s="38"/>
      <c r="B896" s="39"/>
      <c r="C896" s="65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8"/>
    </row>
    <row r="897" ht="16.5" customHeight="1">
      <c r="A897" s="38"/>
      <c r="B897" s="39"/>
      <c r="C897" s="65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8"/>
    </row>
    <row r="898" ht="16.5" customHeight="1">
      <c r="A898" s="38"/>
      <c r="B898" s="39"/>
      <c r="C898" s="65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8"/>
    </row>
    <row r="899" ht="16.5" customHeight="1">
      <c r="A899" s="38"/>
      <c r="B899" s="39"/>
      <c r="C899" s="65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8"/>
    </row>
    <row r="900" ht="16.5" customHeight="1">
      <c r="A900" s="38"/>
      <c r="B900" s="39"/>
      <c r="C900" s="65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8"/>
    </row>
    <row r="901" ht="16.5" customHeight="1">
      <c r="A901" s="38"/>
      <c r="B901" s="39"/>
      <c r="C901" s="65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8"/>
    </row>
    <row r="902" ht="16.5" customHeight="1">
      <c r="A902" s="38"/>
      <c r="B902" s="39"/>
      <c r="C902" s="65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8"/>
    </row>
    <row r="903" ht="16.5" customHeight="1">
      <c r="A903" s="38"/>
      <c r="B903" s="39"/>
      <c r="C903" s="65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8"/>
    </row>
    <row r="904" ht="16.5" customHeight="1">
      <c r="A904" s="38"/>
      <c r="B904" s="39"/>
      <c r="C904" s="65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8"/>
    </row>
    <row r="905" ht="16.5" customHeight="1">
      <c r="A905" s="38"/>
      <c r="B905" s="39"/>
      <c r="C905" s="65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8"/>
    </row>
    <row r="906" ht="16.5" customHeight="1">
      <c r="A906" s="38"/>
      <c r="B906" s="39"/>
      <c r="C906" s="65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8"/>
    </row>
    <row r="907" ht="16.5" customHeight="1">
      <c r="A907" s="38"/>
      <c r="B907" s="39"/>
      <c r="C907" s="65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8"/>
    </row>
    <row r="908" ht="16.5" customHeight="1">
      <c r="A908" s="38"/>
      <c r="B908" s="39"/>
      <c r="C908" s="65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8"/>
    </row>
    <row r="909" ht="16.5" customHeight="1">
      <c r="A909" s="38"/>
      <c r="B909" s="39"/>
      <c r="C909" s="65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8"/>
    </row>
    <row r="910" ht="16.5" customHeight="1">
      <c r="A910" s="38"/>
      <c r="B910" s="39"/>
      <c r="C910" s="65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8"/>
    </row>
    <row r="911" ht="16.5" customHeight="1">
      <c r="A911" s="38"/>
      <c r="B911" s="39"/>
      <c r="C911" s="65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8"/>
    </row>
    <row r="912" ht="16.5" customHeight="1">
      <c r="A912" s="38"/>
      <c r="B912" s="39"/>
      <c r="C912" s="65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8"/>
    </row>
    <row r="913" ht="16.5" customHeight="1">
      <c r="A913" s="38"/>
      <c r="B913" s="39"/>
      <c r="C913" s="65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8"/>
    </row>
    <row r="914" ht="16.5" customHeight="1">
      <c r="A914" s="38"/>
      <c r="B914" s="39"/>
      <c r="C914" s="65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8"/>
    </row>
    <row r="915" ht="16.5" customHeight="1">
      <c r="A915" s="38"/>
      <c r="B915" s="39"/>
      <c r="C915" s="65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8"/>
    </row>
    <row r="916" ht="16.5" customHeight="1">
      <c r="A916" s="38"/>
      <c r="B916" s="39"/>
      <c r="C916" s="65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8"/>
    </row>
    <row r="917" ht="16.5" customHeight="1">
      <c r="A917" s="38"/>
      <c r="B917" s="39"/>
      <c r="C917" s="65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8"/>
    </row>
    <row r="918" ht="16.5" customHeight="1">
      <c r="A918" s="38"/>
      <c r="B918" s="39"/>
      <c r="C918" s="65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8"/>
    </row>
    <row r="919" ht="16.5" customHeight="1">
      <c r="A919" s="38"/>
      <c r="B919" s="39"/>
      <c r="C919" s="65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8"/>
    </row>
    <row r="920" ht="16.5" customHeight="1">
      <c r="A920" s="38"/>
      <c r="B920" s="39"/>
      <c r="C920" s="65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8"/>
    </row>
    <row r="921" ht="16.5" customHeight="1">
      <c r="A921" s="38"/>
      <c r="B921" s="39"/>
      <c r="C921" s="65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8"/>
    </row>
    <row r="922" ht="16.5" customHeight="1">
      <c r="A922" s="38"/>
      <c r="B922" s="39"/>
      <c r="C922" s="65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8"/>
    </row>
    <row r="923" ht="16.5" customHeight="1">
      <c r="A923" s="38"/>
      <c r="B923" s="39"/>
      <c r="C923" s="65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8"/>
    </row>
    <row r="924" ht="16.5" customHeight="1">
      <c r="A924" s="38"/>
      <c r="B924" s="39"/>
      <c r="C924" s="65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8"/>
    </row>
    <row r="925" ht="16.5" customHeight="1">
      <c r="A925" s="38"/>
      <c r="B925" s="39"/>
      <c r="C925" s="65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8"/>
    </row>
    <row r="926" ht="16.5" customHeight="1">
      <c r="A926" s="38"/>
      <c r="B926" s="39"/>
      <c r="C926" s="65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8"/>
    </row>
    <row r="927" ht="16.5" customHeight="1">
      <c r="A927" s="38"/>
      <c r="B927" s="39"/>
      <c r="C927" s="65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8"/>
    </row>
    <row r="928" ht="16.5" customHeight="1">
      <c r="A928" s="38"/>
      <c r="B928" s="39"/>
      <c r="C928" s="65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8"/>
    </row>
    <row r="929" ht="16.5" customHeight="1">
      <c r="A929" s="38"/>
      <c r="B929" s="39"/>
      <c r="C929" s="65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8"/>
    </row>
    <row r="930" ht="16.5" customHeight="1">
      <c r="A930" s="38"/>
      <c r="B930" s="39"/>
      <c r="C930" s="65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8"/>
    </row>
    <row r="931" ht="16.5" customHeight="1">
      <c r="A931" s="38"/>
      <c r="B931" s="39"/>
      <c r="C931" s="65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8"/>
    </row>
    <row r="932" ht="16.5" customHeight="1">
      <c r="A932" s="38"/>
      <c r="B932" s="39"/>
      <c r="C932" s="65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8"/>
    </row>
    <row r="933" ht="16.5" customHeight="1">
      <c r="A933" s="38"/>
      <c r="B933" s="39"/>
      <c r="C933" s="65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8"/>
    </row>
    <row r="934" ht="16.5" customHeight="1">
      <c r="A934" s="38"/>
      <c r="B934" s="39"/>
      <c r="C934" s="65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8"/>
    </row>
    <row r="935" ht="16.5" customHeight="1">
      <c r="A935" s="38"/>
      <c r="B935" s="39"/>
      <c r="C935" s="65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8"/>
    </row>
    <row r="936" ht="16.5" customHeight="1">
      <c r="A936" s="38"/>
      <c r="B936" s="39"/>
      <c r="C936" s="65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8"/>
    </row>
    <row r="937" ht="16.5" customHeight="1">
      <c r="A937" s="38"/>
      <c r="B937" s="39"/>
      <c r="C937" s="65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8"/>
    </row>
    <row r="938" ht="16.5" customHeight="1">
      <c r="A938" s="38"/>
      <c r="B938" s="39"/>
      <c r="C938" s="65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8"/>
    </row>
    <row r="939" ht="16.5" customHeight="1">
      <c r="A939" s="38"/>
      <c r="B939" s="39"/>
      <c r="C939" s="65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8"/>
    </row>
    <row r="940" ht="16.5" customHeight="1">
      <c r="A940" s="38"/>
      <c r="B940" s="39"/>
      <c r="C940" s="65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8"/>
    </row>
    <row r="941" ht="16.5" customHeight="1">
      <c r="A941" s="38"/>
      <c r="B941" s="39"/>
      <c r="C941" s="65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8"/>
    </row>
    <row r="942" ht="16.5" customHeight="1">
      <c r="A942" s="38"/>
      <c r="B942" s="39"/>
      <c r="C942" s="65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8"/>
    </row>
    <row r="943" ht="16.5" customHeight="1">
      <c r="A943" s="38"/>
      <c r="B943" s="39"/>
      <c r="C943" s="65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8"/>
    </row>
    <row r="944" ht="16.5" customHeight="1">
      <c r="A944" s="38"/>
      <c r="B944" s="39"/>
      <c r="C944" s="65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8"/>
    </row>
    <row r="945" ht="16.5" customHeight="1">
      <c r="A945" s="38"/>
      <c r="B945" s="39"/>
      <c r="C945" s="65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8"/>
    </row>
    <row r="946" ht="16.5" customHeight="1">
      <c r="A946" s="38"/>
      <c r="B946" s="39"/>
      <c r="C946" s="65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8"/>
    </row>
    <row r="947" ht="16.5" customHeight="1">
      <c r="A947" s="38"/>
      <c r="B947" s="39"/>
      <c r="C947" s="65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8"/>
    </row>
    <row r="948" ht="16.5" customHeight="1">
      <c r="A948" s="38"/>
      <c r="B948" s="39"/>
      <c r="C948" s="65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8"/>
    </row>
    <row r="949" ht="16.5" customHeight="1">
      <c r="A949" s="38"/>
      <c r="B949" s="39"/>
      <c r="C949" s="65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8"/>
    </row>
    <row r="950" ht="16.5" customHeight="1">
      <c r="A950" s="38"/>
      <c r="B950" s="39"/>
      <c r="C950" s="65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8"/>
    </row>
    <row r="951" ht="16.5" customHeight="1">
      <c r="A951" s="38"/>
      <c r="B951" s="39"/>
      <c r="C951" s="65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8"/>
    </row>
    <row r="952" ht="16.5" customHeight="1">
      <c r="A952" s="38"/>
      <c r="B952" s="39"/>
      <c r="C952" s="65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8"/>
    </row>
    <row r="953" ht="16.5" customHeight="1">
      <c r="A953" s="38"/>
      <c r="B953" s="39"/>
      <c r="C953" s="65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8"/>
    </row>
    <row r="954" ht="16.5" customHeight="1">
      <c r="A954" s="38"/>
      <c r="B954" s="39"/>
      <c r="C954" s="65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8"/>
    </row>
    <row r="955" ht="16.5" customHeight="1">
      <c r="A955" s="38"/>
      <c r="B955" s="39"/>
      <c r="C955" s="65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8"/>
    </row>
    <row r="956" ht="16.5" customHeight="1">
      <c r="A956" s="38"/>
      <c r="B956" s="39"/>
      <c r="C956" s="65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8"/>
    </row>
    <row r="957" ht="16.5" customHeight="1">
      <c r="A957" s="38"/>
      <c r="B957" s="39"/>
      <c r="C957" s="65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8"/>
    </row>
    <row r="958" ht="16.5" customHeight="1">
      <c r="A958" s="38"/>
      <c r="B958" s="39"/>
      <c r="C958" s="65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8"/>
    </row>
    <row r="959" ht="16.5" customHeight="1">
      <c r="A959" s="38"/>
      <c r="B959" s="39"/>
      <c r="C959" s="65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8"/>
    </row>
    <row r="960" ht="16.5" customHeight="1">
      <c r="A960" s="38"/>
      <c r="B960" s="39"/>
      <c r="C960" s="65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8"/>
    </row>
    <row r="961" ht="16.5" customHeight="1">
      <c r="A961" s="38"/>
      <c r="B961" s="39"/>
      <c r="C961" s="65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8"/>
    </row>
    <row r="962" ht="16.5" customHeight="1">
      <c r="A962" s="38"/>
      <c r="B962" s="39"/>
      <c r="C962" s="65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8"/>
    </row>
    <row r="963" ht="16.5" customHeight="1">
      <c r="A963" s="38"/>
      <c r="B963" s="39"/>
      <c r="C963" s="65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8"/>
    </row>
    <row r="964" ht="16.5" customHeight="1">
      <c r="A964" s="38"/>
      <c r="B964" s="39"/>
      <c r="C964" s="65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8"/>
    </row>
    <row r="965" ht="16.5" customHeight="1">
      <c r="A965" s="38"/>
      <c r="B965" s="39"/>
      <c r="C965" s="65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8"/>
    </row>
    <row r="966" ht="16.5" customHeight="1">
      <c r="A966" s="38"/>
      <c r="B966" s="39"/>
      <c r="C966" s="65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8"/>
    </row>
    <row r="967" ht="16.5" customHeight="1">
      <c r="A967" s="38"/>
      <c r="B967" s="39"/>
      <c r="C967" s="65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8"/>
    </row>
    <row r="968" ht="16.5" customHeight="1">
      <c r="A968" s="38"/>
      <c r="B968" s="39"/>
      <c r="C968" s="65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8"/>
    </row>
    <row r="969" ht="16.5" customHeight="1">
      <c r="A969" s="38"/>
      <c r="B969" s="39"/>
      <c r="C969" s="65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8"/>
    </row>
    <row r="970" ht="16.5" customHeight="1">
      <c r="A970" s="38"/>
      <c r="B970" s="39"/>
      <c r="C970" s="65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8"/>
    </row>
    <row r="971" ht="16.5" customHeight="1">
      <c r="A971" s="38"/>
      <c r="B971" s="39"/>
      <c r="C971" s="65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8"/>
    </row>
    <row r="972" ht="16.5" customHeight="1">
      <c r="A972" s="38"/>
      <c r="B972" s="39"/>
      <c r="C972" s="65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8"/>
    </row>
    <row r="973" ht="16.5" customHeight="1">
      <c r="A973" s="38"/>
      <c r="B973" s="39"/>
      <c r="C973" s="65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8"/>
    </row>
    <row r="974" ht="16.5" customHeight="1">
      <c r="A974" s="38"/>
      <c r="B974" s="39"/>
      <c r="C974" s="65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8"/>
    </row>
    <row r="975" ht="16.5" customHeight="1">
      <c r="A975" s="38"/>
      <c r="B975" s="39"/>
      <c r="C975" s="65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8"/>
    </row>
    <row r="976" ht="16.5" customHeight="1">
      <c r="A976" s="38"/>
      <c r="B976" s="39"/>
      <c r="C976" s="65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8"/>
    </row>
    <row r="977" ht="16.5" customHeight="1">
      <c r="A977" s="38"/>
      <c r="B977" s="39"/>
      <c r="C977" s="65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8"/>
    </row>
    <row r="978" ht="16.5" customHeight="1">
      <c r="A978" s="38"/>
      <c r="B978" s="39"/>
      <c r="C978" s="65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8"/>
    </row>
    <row r="979" ht="16.5" customHeight="1">
      <c r="A979" s="38"/>
      <c r="B979" s="39"/>
      <c r="C979" s="65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8"/>
    </row>
    <row r="980" ht="16.5" customHeight="1">
      <c r="A980" s="38"/>
      <c r="B980" s="39"/>
      <c r="C980" s="65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8"/>
    </row>
    <row r="981" ht="16.5" customHeight="1">
      <c r="A981" s="38"/>
      <c r="B981" s="39"/>
      <c r="C981" s="65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8"/>
    </row>
    <row r="982" ht="16.5" customHeight="1">
      <c r="A982" s="38"/>
      <c r="B982" s="39"/>
      <c r="C982" s="65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8"/>
    </row>
    <row r="983" ht="16.5" customHeight="1">
      <c r="A983" s="38"/>
      <c r="B983" s="39"/>
      <c r="C983" s="65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8"/>
    </row>
    <row r="984" ht="16.5" customHeight="1">
      <c r="A984" s="38"/>
      <c r="B984" s="39"/>
      <c r="C984" s="65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8"/>
    </row>
    <row r="985" ht="16.5" customHeight="1">
      <c r="A985" s="38"/>
      <c r="B985" s="39"/>
      <c r="C985" s="65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8"/>
    </row>
    <row r="986" ht="16.5" customHeight="1">
      <c r="A986" s="38"/>
      <c r="B986" s="39"/>
      <c r="C986" s="65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8"/>
    </row>
    <row r="987" ht="16.5" customHeight="1">
      <c r="A987" s="38"/>
      <c r="B987" s="39"/>
      <c r="C987" s="65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8"/>
    </row>
    <row r="988" ht="16.5" customHeight="1">
      <c r="A988" s="38"/>
      <c r="B988" s="39"/>
      <c r="C988" s="65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8"/>
    </row>
    <row r="989" ht="16.5" customHeight="1">
      <c r="A989" s="38"/>
      <c r="B989" s="39"/>
      <c r="C989" s="65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8"/>
    </row>
    <row r="990" ht="16.5" customHeight="1">
      <c r="A990" s="38"/>
      <c r="B990" s="39"/>
      <c r="C990" s="65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8"/>
    </row>
    <row r="991" ht="16.5" customHeight="1">
      <c r="A991" s="38"/>
      <c r="B991" s="39"/>
      <c r="C991" s="65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8"/>
    </row>
    <row r="992" ht="16.5" customHeight="1">
      <c r="A992" s="38"/>
      <c r="B992" s="39"/>
      <c r="C992" s="65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8"/>
    </row>
    <row r="993" ht="16.5" customHeight="1">
      <c r="A993" s="38"/>
      <c r="B993" s="39"/>
      <c r="C993" s="65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8"/>
    </row>
    <row r="994" ht="16.5" customHeight="1">
      <c r="A994" s="38"/>
      <c r="B994" s="39"/>
      <c r="C994" s="65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8"/>
    </row>
    <row r="995" ht="16.5" customHeight="1">
      <c r="A995" s="38"/>
      <c r="B995" s="39"/>
      <c r="C995" s="65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8"/>
    </row>
    <row r="996" ht="16.5" customHeight="1">
      <c r="A996" s="38"/>
      <c r="B996" s="39"/>
      <c r="C996" s="65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8"/>
    </row>
    <row r="997" ht="16.5" customHeight="1">
      <c r="A997" s="38"/>
      <c r="B997" s="39"/>
      <c r="C997" s="65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8"/>
    </row>
    <row r="998" ht="16.5" customHeight="1">
      <c r="A998" s="38"/>
      <c r="B998" s="39"/>
      <c r="C998" s="65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8"/>
    </row>
    <row r="999" ht="16.5" customHeight="1">
      <c r="A999" s="38"/>
      <c r="B999" s="39"/>
      <c r="C999" s="65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8"/>
    </row>
    <row r="1000" ht="16.5" customHeight="1">
      <c r="A1000" s="38"/>
      <c r="B1000" s="39"/>
      <c r="C1000" s="65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8"/>
    </row>
  </sheetData>
  <autoFilter ref="$B$7:$AD$63"/>
  <mergeCells count="14">
    <mergeCell ref="U3:Z3"/>
    <mergeCell ref="AA3:AC3"/>
    <mergeCell ref="E3:I3"/>
    <mergeCell ref="G4:H4"/>
    <mergeCell ref="L4:M4"/>
    <mergeCell ref="Q4:R4"/>
    <mergeCell ref="B1:AD1"/>
    <mergeCell ref="B3:B5"/>
    <mergeCell ref="C3:C5"/>
    <mergeCell ref="D3:D5"/>
    <mergeCell ref="J3:N3"/>
    <mergeCell ref="O3:T3"/>
    <mergeCell ref="AD3:AD4"/>
    <mergeCell ref="W4:X4"/>
  </mergeCells>
  <conditionalFormatting sqref="H8:H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:I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6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:T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6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:Z6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:AB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:AC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8:AD6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.57"/>
    <col customWidth="1" min="3" max="3" width="25.14"/>
    <col customWidth="1" min="4" max="4" width="17.0"/>
    <col customWidth="1" min="5" max="6" width="17.29"/>
    <col customWidth="1" min="7" max="26" width="10.0"/>
  </cols>
  <sheetData>
    <row r="3">
      <c r="B3" s="83" t="s">
        <v>177</v>
      </c>
      <c r="C3" s="84" t="s">
        <v>2</v>
      </c>
      <c r="D3" s="85" t="s">
        <v>178</v>
      </c>
      <c r="E3" s="86" t="s">
        <v>179</v>
      </c>
      <c r="F3" s="86" t="s">
        <v>180</v>
      </c>
    </row>
    <row r="4">
      <c r="B4" s="87">
        <v>1.0</v>
      </c>
      <c r="C4" s="88" t="s">
        <v>80</v>
      </c>
      <c r="D4" s="89">
        <v>334391.0</v>
      </c>
      <c r="E4" s="90">
        <v>-0.09911054637865312</v>
      </c>
      <c r="F4" s="91">
        <v>-0.41934758155230595</v>
      </c>
    </row>
    <row r="5">
      <c r="B5" s="87">
        <v>2.0</v>
      </c>
      <c r="C5" s="88" t="s">
        <v>85</v>
      </c>
      <c r="D5" s="89">
        <v>21294.0</v>
      </c>
      <c r="E5" s="90">
        <v>-0.3333333333333333</v>
      </c>
      <c r="F5" s="91">
        <v>-0.5686274509803921</v>
      </c>
    </row>
    <row r="6">
      <c r="B6" s="87">
        <v>3.0</v>
      </c>
      <c r="C6" s="88" t="s">
        <v>52</v>
      </c>
      <c r="D6" s="89">
        <v>350268.0</v>
      </c>
      <c r="E6" s="90">
        <v>-0.04365904365904366</v>
      </c>
      <c r="F6" s="91">
        <v>-0.5027412280701754</v>
      </c>
    </row>
    <row r="7">
      <c r="B7" s="87">
        <v>4.0</v>
      </c>
      <c r="C7" s="88" t="s">
        <v>62</v>
      </c>
      <c r="D7" s="89">
        <v>74193.0</v>
      </c>
      <c r="E7" s="90">
        <v>0.0</v>
      </c>
      <c r="F7" s="91">
        <v>-0.780952380952381</v>
      </c>
    </row>
    <row r="8">
      <c r="B8" s="87">
        <v>5.0</v>
      </c>
      <c r="C8" s="88" t="s">
        <v>53</v>
      </c>
      <c r="D8" s="89">
        <v>237574.0</v>
      </c>
      <c r="E8" s="90">
        <v>-0.14761904761904762</v>
      </c>
      <c r="F8" s="91">
        <v>-0.21783876500857632</v>
      </c>
    </row>
    <row r="9">
      <c r="B9" s="87" t="s">
        <v>181</v>
      </c>
      <c r="C9" s="88"/>
      <c r="D9" s="89"/>
      <c r="E9" s="90"/>
      <c r="F9" s="91"/>
    </row>
    <row r="10" hidden="1">
      <c r="B10" s="87">
        <v>6.0</v>
      </c>
      <c r="C10" s="88" t="s">
        <v>98</v>
      </c>
      <c r="D10" s="89">
        <v>2872.0</v>
      </c>
      <c r="E10" s="90">
        <v>-1.0</v>
      </c>
      <c r="F10" s="91">
        <v>-0.25</v>
      </c>
    </row>
    <row r="11" hidden="1">
      <c r="B11" s="87">
        <v>7.0</v>
      </c>
      <c r="C11" s="88" t="s">
        <v>72</v>
      </c>
      <c r="D11" s="89">
        <v>111398.0</v>
      </c>
      <c r="E11" s="90">
        <v>-0.00980392156862745</v>
      </c>
      <c r="F11" s="91">
        <v>-0.44534412955465585</v>
      </c>
    </row>
    <row r="12" hidden="1">
      <c r="B12" s="87">
        <v>8.0</v>
      </c>
      <c r="C12" s="88" t="s">
        <v>43</v>
      </c>
      <c r="D12" s="89">
        <v>549846.0</v>
      </c>
      <c r="E12" s="90">
        <v>-0.2131782945736434</v>
      </c>
      <c r="F12" s="91">
        <v>-0.23249669749009247</v>
      </c>
    </row>
    <row r="13" hidden="1">
      <c r="B13" s="87">
        <v>9.0</v>
      </c>
      <c r="C13" s="88" t="s">
        <v>50</v>
      </c>
      <c r="D13" s="89">
        <v>309204.0</v>
      </c>
      <c r="E13" s="90">
        <v>0.1497005988023952</v>
      </c>
      <c r="F13" s="91">
        <v>-0.3700787401574803</v>
      </c>
    </row>
    <row r="14" hidden="1">
      <c r="B14" s="87">
        <v>10.0</v>
      </c>
      <c r="C14" s="88" t="s">
        <v>65</v>
      </c>
      <c r="D14" s="89">
        <v>119957.0</v>
      </c>
      <c r="E14" s="90">
        <v>-0.1111111111111111</v>
      </c>
      <c r="F14" s="91">
        <v>-0.128125</v>
      </c>
    </row>
    <row r="15" hidden="1">
      <c r="B15" s="87">
        <v>11.0</v>
      </c>
      <c r="C15" s="88" t="s">
        <v>79</v>
      </c>
      <c r="D15" s="89">
        <v>300650.0</v>
      </c>
      <c r="E15" s="90">
        <v>0.12578616352201258</v>
      </c>
      <c r="F15" s="91">
        <v>-0.23052959501557632</v>
      </c>
    </row>
    <row r="16" hidden="1">
      <c r="B16" s="87">
        <v>12.0</v>
      </c>
      <c r="C16" s="88" t="s">
        <v>77</v>
      </c>
      <c r="D16" s="89">
        <v>299964.0</v>
      </c>
      <c r="E16" s="90">
        <v>0.11504424778761062</v>
      </c>
      <c r="F16" s="91">
        <v>-0.1993006993006993</v>
      </c>
    </row>
    <row r="17" hidden="1">
      <c r="B17" s="87">
        <v>13.0</v>
      </c>
      <c r="C17" s="88" t="s">
        <v>48</v>
      </c>
      <c r="D17" s="89">
        <v>121788.0</v>
      </c>
      <c r="E17" s="90">
        <v>0.2</v>
      </c>
      <c r="F17" s="91">
        <v>-0.24206349206349206</v>
      </c>
    </row>
    <row r="18" hidden="1">
      <c r="B18" s="87">
        <v>14.0</v>
      </c>
      <c r="C18" s="88" t="s">
        <v>45</v>
      </c>
      <c r="D18" s="89">
        <v>152190.0</v>
      </c>
      <c r="E18" s="90">
        <v>-0.14754098360655737</v>
      </c>
      <c r="F18" s="91">
        <v>-0.18571428571428572</v>
      </c>
    </row>
    <row r="19" hidden="1">
      <c r="B19" s="87">
        <v>15.0</v>
      </c>
      <c r="C19" s="88" t="s">
        <v>73</v>
      </c>
      <c r="D19" s="89">
        <v>214925.0</v>
      </c>
      <c r="E19" s="90">
        <v>0.20422535211267606</v>
      </c>
      <c r="F19" s="91">
        <v>-0.2478813559322034</v>
      </c>
    </row>
    <row r="20" hidden="1">
      <c r="B20" s="87">
        <v>16.0</v>
      </c>
      <c r="C20" s="88" t="s">
        <v>51</v>
      </c>
      <c r="D20" s="89">
        <v>222807.0</v>
      </c>
      <c r="E20" s="90">
        <v>0.35564853556485354</v>
      </c>
      <c r="F20" s="91">
        <v>-0.4337401918047079</v>
      </c>
    </row>
    <row r="21" ht="15.75" hidden="1" customHeight="1">
      <c r="B21" s="87">
        <v>17.0</v>
      </c>
      <c r="C21" s="88" t="s">
        <v>55</v>
      </c>
      <c r="D21" s="89">
        <v>146908.0</v>
      </c>
      <c r="E21" s="90">
        <v>0.30962343096234307</v>
      </c>
      <c r="F21" s="91">
        <v>-0.5506282335550629</v>
      </c>
    </row>
    <row r="22" ht="15.75" hidden="1" customHeight="1">
      <c r="B22" s="87">
        <v>18.0</v>
      </c>
      <c r="C22" s="88" t="s">
        <v>82</v>
      </c>
      <c r="D22" s="89">
        <v>59622.0</v>
      </c>
      <c r="E22" s="90">
        <v>-0.16666666666666666</v>
      </c>
      <c r="F22" s="91">
        <v>0.17391304347826086</v>
      </c>
    </row>
    <row r="23" ht="15.75" hidden="1" customHeight="1">
      <c r="B23" s="87">
        <v>19.0</v>
      </c>
      <c r="C23" s="88" t="s">
        <v>46</v>
      </c>
      <c r="D23" s="89">
        <v>217794.0</v>
      </c>
      <c r="E23" s="90">
        <v>0.14792899408284024</v>
      </c>
      <c r="F23" s="91">
        <v>-0.14563106796116504</v>
      </c>
    </row>
    <row r="24" ht="15.75" hidden="1" customHeight="1">
      <c r="B24" s="87">
        <v>20.0</v>
      </c>
      <c r="C24" s="88" t="s">
        <v>88</v>
      </c>
      <c r="D24" s="89">
        <v>68758.0</v>
      </c>
      <c r="E24" s="90">
        <v>-0.14285714285714285</v>
      </c>
      <c r="F24" s="91">
        <v>-0.16666666666666666</v>
      </c>
    </row>
    <row r="25" ht="15.75" hidden="1" customHeight="1">
      <c r="B25" s="87">
        <v>21.0</v>
      </c>
      <c r="C25" s="88" t="s">
        <v>93</v>
      </c>
      <c r="D25" s="89">
        <v>29700.0</v>
      </c>
      <c r="E25" s="90">
        <v>0.9090909090909091</v>
      </c>
      <c r="F25" s="91">
        <v>-0.4861111111111111</v>
      </c>
    </row>
    <row r="26" ht="15.75" hidden="1" customHeight="1">
      <c r="B26" s="87">
        <v>22.0</v>
      </c>
      <c r="C26" s="88" t="s">
        <v>94</v>
      </c>
      <c r="D26" s="89">
        <v>28401.0</v>
      </c>
      <c r="E26" s="90">
        <v>-1.0</v>
      </c>
      <c r="F26" s="91">
        <v>-0.5</v>
      </c>
    </row>
    <row r="27" ht="15.75" hidden="1" customHeight="1">
      <c r="B27" s="87">
        <v>23.0</v>
      </c>
      <c r="C27" s="88" t="s">
        <v>49</v>
      </c>
      <c r="D27" s="89">
        <v>414189.0</v>
      </c>
      <c r="E27" s="90">
        <v>-0.18404907975460122</v>
      </c>
      <c r="F27" s="91">
        <v>0.1887966804979253</v>
      </c>
    </row>
    <row r="28" ht="15.75" hidden="1" customHeight="1">
      <c r="B28" s="87">
        <v>24.0</v>
      </c>
      <c r="C28" s="88" t="s">
        <v>84</v>
      </c>
      <c r="D28" s="89">
        <v>101978.0</v>
      </c>
      <c r="E28" s="90">
        <v>0.3037974683544304</v>
      </c>
      <c r="F28" s="91">
        <v>-0.1782178217821782</v>
      </c>
    </row>
    <row r="29" ht="15.75" hidden="1" customHeight="1">
      <c r="B29" s="87">
        <v>25.0</v>
      </c>
      <c r="C29" s="88" t="s">
        <v>95</v>
      </c>
      <c r="D29" s="89">
        <v>2063.0</v>
      </c>
      <c r="E29" s="90" t="s">
        <v>41</v>
      </c>
      <c r="F29" s="91" t="s">
        <v>41</v>
      </c>
    </row>
    <row r="30" ht="15.75" hidden="1" customHeight="1">
      <c r="B30" s="87">
        <v>26.0</v>
      </c>
      <c r="C30" s="88" t="s">
        <v>54</v>
      </c>
      <c r="D30" s="89">
        <v>118268.0</v>
      </c>
      <c r="E30" s="90">
        <v>0.5918367346938775</v>
      </c>
      <c r="F30" s="91">
        <v>-0.43208863356585964</v>
      </c>
    </row>
    <row r="31" ht="15.75" hidden="1" customHeight="1">
      <c r="B31" s="87">
        <v>27.0</v>
      </c>
      <c r="C31" s="88" t="s">
        <v>47</v>
      </c>
      <c r="D31" s="89">
        <v>241038.0</v>
      </c>
      <c r="E31" s="90">
        <v>0.6890243902439024</v>
      </c>
      <c r="F31" s="91">
        <v>-0.30363636363636365</v>
      </c>
    </row>
    <row r="32" ht="15.75" hidden="1" customHeight="1">
      <c r="B32" s="87">
        <v>28.0</v>
      </c>
      <c r="C32" s="88" t="s">
        <v>86</v>
      </c>
      <c r="D32" s="89">
        <v>110507.0</v>
      </c>
      <c r="E32" s="90">
        <v>-0.07407407407407407</v>
      </c>
      <c r="F32" s="91">
        <v>0.3548387096774194</v>
      </c>
    </row>
    <row r="33" ht="15.75" hidden="1" customHeight="1">
      <c r="B33" s="87">
        <v>29.0</v>
      </c>
      <c r="C33" s="88" t="s">
        <v>97</v>
      </c>
      <c r="D33" s="89">
        <v>44402.0</v>
      </c>
      <c r="E33" s="90" t="s">
        <v>41</v>
      </c>
      <c r="F33" s="91">
        <v>-0.17142857142857143</v>
      </c>
    </row>
    <row r="34" ht="15.75" hidden="1" customHeight="1">
      <c r="B34" s="87">
        <v>30.0</v>
      </c>
      <c r="C34" s="88" t="s">
        <v>75</v>
      </c>
      <c r="D34" s="89">
        <v>60722.0</v>
      </c>
      <c r="E34" s="90">
        <v>0.39759036144578314</v>
      </c>
      <c r="F34" s="91">
        <v>-0.2814814814814815</v>
      </c>
    </row>
    <row r="35" ht="15.75" hidden="1" customHeight="1">
      <c r="B35" s="87">
        <v>31.0</v>
      </c>
      <c r="C35" s="88" t="s">
        <v>76</v>
      </c>
      <c r="D35" s="89">
        <v>92519.0</v>
      </c>
      <c r="E35" s="90">
        <v>0.9285714285714286</v>
      </c>
      <c r="F35" s="91">
        <v>-0.1510204081632653</v>
      </c>
    </row>
    <row r="36" ht="15.75" hidden="1" customHeight="1">
      <c r="B36" s="87">
        <v>32.0</v>
      </c>
      <c r="C36" s="88" t="s">
        <v>58</v>
      </c>
      <c r="D36" s="89">
        <v>480869.0</v>
      </c>
      <c r="E36" s="90">
        <v>0.12126865671641791</v>
      </c>
      <c r="F36" s="91">
        <v>0.08091123330714847</v>
      </c>
    </row>
    <row r="37" ht="15.75" hidden="1" customHeight="1">
      <c r="B37" s="87">
        <v>33.0</v>
      </c>
      <c r="C37" s="88" t="s">
        <v>81</v>
      </c>
      <c r="D37" s="89">
        <v>133149.0</v>
      </c>
      <c r="E37" s="90">
        <v>0.32175925925925924</v>
      </c>
      <c r="F37" s="91">
        <v>-0.20457730032695</v>
      </c>
    </row>
    <row r="38" ht="15.75" hidden="1" customHeight="1">
      <c r="B38" s="87">
        <v>34.0</v>
      </c>
      <c r="C38" s="88" t="s">
        <v>64</v>
      </c>
      <c r="D38" s="89">
        <v>278578.0</v>
      </c>
      <c r="E38" s="90">
        <v>0.5192307692307693</v>
      </c>
      <c r="F38" s="91">
        <v>-0.10449927431059507</v>
      </c>
    </row>
    <row r="39" ht="15.75" hidden="1" customHeight="1">
      <c r="B39" s="87">
        <v>35.0</v>
      </c>
      <c r="C39" s="88" t="s">
        <v>74</v>
      </c>
      <c r="D39" s="89">
        <v>70669.0</v>
      </c>
      <c r="E39" s="90">
        <v>1.894736842105263</v>
      </c>
      <c r="F39" s="91">
        <v>-0.16666666666666666</v>
      </c>
    </row>
    <row r="40" ht="15.75" hidden="1" customHeight="1">
      <c r="B40" s="87">
        <v>36.0</v>
      </c>
      <c r="C40" s="88" t="s">
        <v>90</v>
      </c>
      <c r="D40" s="89">
        <v>113140.0</v>
      </c>
      <c r="E40" s="90">
        <v>0.12727272727272726</v>
      </c>
      <c r="F40" s="91">
        <v>0.3875</v>
      </c>
    </row>
    <row r="41" ht="15.75" hidden="1" customHeight="1">
      <c r="B41" s="87">
        <v>37.0</v>
      </c>
      <c r="C41" s="88" t="s">
        <v>44</v>
      </c>
      <c r="D41" s="89">
        <v>218485.0</v>
      </c>
      <c r="E41" s="90">
        <v>0.3034825870646766</v>
      </c>
      <c r="F41" s="91">
        <v>0.005108556832694764</v>
      </c>
    </row>
    <row r="42" ht="15.75" hidden="1" customHeight="1">
      <c r="B42" s="87">
        <v>38.0</v>
      </c>
      <c r="C42" s="88" t="s">
        <v>96</v>
      </c>
      <c r="D42" s="89">
        <v>7620.0</v>
      </c>
      <c r="E42" s="90" t="s">
        <v>41</v>
      </c>
      <c r="F42" s="91" t="s">
        <v>41</v>
      </c>
    </row>
    <row r="43" ht="15.75" hidden="1" customHeight="1">
      <c r="B43" s="87">
        <v>39.0</v>
      </c>
      <c r="C43" s="88" t="s">
        <v>59</v>
      </c>
      <c r="D43" s="89">
        <v>324754.0</v>
      </c>
      <c r="E43" s="90">
        <v>0.20087336244541484</v>
      </c>
      <c r="F43" s="91">
        <v>0.3478760045924225</v>
      </c>
    </row>
    <row r="44" ht="15.75" hidden="1" customHeight="1">
      <c r="B44" s="87">
        <v>40.0</v>
      </c>
      <c r="C44" s="88" t="s">
        <v>87</v>
      </c>
      <c r="D44" s="89">
        <v>226936.0</v>
      </c>
      <c r="E44" s="90">
        <v>5.7</v>
      </c>
      <c r="F44" s="91">
        <v>0.34532374100719426</v>
      </c>
    </row>
    <row r="45" ht="15.75" hidden="1" customHeight="1">
      <c r="B45" s="87">
        <v>41.0</v>
      </c>
      <c r="C45" s="88" t="s">
        <v>91</v>
      </c>
      <c r="D45" s="89">
        <v>21919.0</v>
      </c>
      <c r="E45" s="90">
        <v>0.5333333333333333</v>
      </c>
      <c r="F45" s="91">
        <v>0.13043478260869565</v>
      </c>
    </row>
    <row r="46" ht="15.75" hidden="1" customHeight="1">
      <c r="B46" s="87">
        <v>42.0</v>
      </c>
      <c r="C46" s="88" t="s">
        <v>66</v>
      </c>
      <c r="D46" s="89">
        <v>81968.0</v>
      </c>
      <c r="E46" s="90">
        <v>4.5</v>
      </c>
      <c r="F46" s="91">
        <v>-0.0915032679738562</v>
      </c>
    </row>
    <row r="47" ht="15.75" hidden="1" customHeight="1">
      <c r="B47" s="87">
        <v>43.0</v>
      </c>
      <c r="C47" s="88" t="s">
        <v>83</v>
      </c>
      <c r="D47" s="89">
        <v>21789.0</v>
      </c>
      <c r="E47" s="90">
        <v>0.625</v>
      </c>
      <c r="F47" s="91">
        <v>1.3333333333333333</v>
      </c>
    </row>
    <row r="48" ht="15.75" hidden="1" customHeight="1">
      <c r="B48" s="87">
        <v>44.0</v>
      </c>
      <c r="C48" s="88" t="s">
        <v>89</v>
      </c>
      <c r="D48" s="89">
        <v>66079.0</v>
      </c>
      <c r="E48" s="90">
        <v>0.5454545454545454</v>
      </c>
      <c r="F48" s="91">
        <v>2.825</v>
      </c>
    </row>
    <row r="49" ht="15.75" hidden="1" customHeight="1">
      <c r="B49" s="87">
        <v>45.0</v>
      </c>
      <c r="C49" s="88" t="s">
        <v>78</v>
      </c>
      <c r="D49" s="89">
        <v>194589.0</v>
      </c>
      <c r="E49" s="90">
        <v>0.2219020172910663</v>
      </c>
      <c r="F49" s="91">
        <v>0.160676532769556</v>
      </c>
    </row>
    <row r="50" ht="15.75" hidden="1" customHeight="1">
      <c r="B50" s="87">
        <v>46.0</v>
      </c>
      <c r="C50" s="88" t="s">
        <v>57</v>
      </c>
      <c r="D50" s="89">
        <v>36534.0</v>
      </c>
      <c r="E50" s="90">
        <v>1.6444444444444444</v>
      </c>
      <c r="F50" s="91">
        <v>-0.06741573033707865</v>
      </c>
    </row>
    <row r="51" ht="15.75" hidden="1" customHeight="1">
      <c r="B51" s="87">
        <v>47.0</v>
      </c>
      <c r="C51" s="88" t="s">
        <v>67</v>
      </c>
      <c r="D51" s="89">
        <v>148369.0</v>
      </c>
      <c r="E51" s="90">
        <v>0.5208333333333334</v>
      </c>
      <c r="F51" s="91">
        <v>0.19166666666666668</v>
      </c>
    </row>
    <row r="52" ht="15.75" hidden="1" customHeight="1">
      <c r="B52" s="87">
        <v>48.0</v>
      </c>
      <c r="C52" s="88" t="s">
        <v>68</v>
      </c>
      <c r="D52" s="89">
        <v>64223.0</v>
      </c>
      <c r="E52" s="90">
        <v>2.473684210526316</v>
      </c>
      <c r="F52" s="91">
        <v>0.06912442396313365</v>
      </c>
    </row>
    <row r="53" ht="15.75" hidden="1" customHeight="1">
      <c r="B53" s="87">
        <v>49.0</v>
      </c>
      <c r="C53" s="88" t="s">
        <v>71</v>
      </c>
      <c r="D53" s="89">
        <v>160613.0</v>
      </c>
      <c r="E53" s="90">
        <v>0.890625</v>
      </c>
      <c r="F53" s="91">
        <v>0.07836990595611286</v>
      </c>
    </row>
    <row r="54" ht="15.75" hidden="1" customHeight="1">
      <c r="B54" s="87">
        <v>50.0</v>
      </c>
      <c r="C54" s="88" t="s">
        <v>70</v>
      </c>
      <c r="D54" s="89">
        <v>65122.0</v>
      </c>
      <c r="E54" s="90">
        <v>0.7555555555555555</v>
      </c>
      <c r="F54" s="91">
        <v>0.3388888888888889</v>
      </c>
    </row>
    <row r="55" ht="15.75" hidden="1" customHeight="1">
      <c r="B55" s="87">
        <v>51.0</v>
      </c>
      <c r="C55" s="88" t="s">
        <v>56</v>
      </c>
      <c r="D55" s="89">
        <v>66371.0</v>
      </c>
      <c r="E55" s="90">
        <v>0.47619047619047616</v>
      </c>
      <c r="F55" s="91">
        <v>0.20833333333333334</v>
      </c>
    </row>
    <row r="56" ht="15.75" customHeight="1">
      <c r="B56" s="87">
        <v>52.0</v>
      </c>
      <c r="C56" s="88" t="s">
        <v>92</v>
      </c>
      <c r="D56" s="89">
        <v>23475.0</v>
      </c>
      <c r="E56" s="90">
        <v>4.0</v>
      </c>
      <c r="F56" s="91">
        <v>1.89010989010989</v>
      </c>
    </row>
    <row r="57" ht="15.75" customHeight="1">
      <c r="B57" s="87">
        <v>53.0</v>
      </c>
      <c r="C57" s="88" t="s">
        <v>61</v>
      </c>
      <c r="D57" s="89">
        <v>79513.0</v>
      </c>
      <c r="E57" s="90">
        <v>0.7333333333333333</v>
      </c>
      <c r="F57" s="91">
        <v>0.36528497409326427</v>
      </c>
    </row>
    <row r="58" ht="15.75" customHeight="1">
      <c r="B58" s="87">
        <v>54.0</v>
      </c>
      <c r="C58" s="88" t="s">
        <v>63</v>
      </c>
      <c r="D58" s="89">
        <v>209616.0</v>
      </c>
      <c r="E58" s="90">
        <v>0.9022556390977443</v>
      </c>
      <c r="F58" s="91">
        <v>1.5432835820895523</v>
      </c>
    </row>
    <row r="59" ht="15.75" customHeight="1">
      <c r="B59" s="87">
        <v>55.0</v>
      </c>
      <c r="C59" s="88" t="s">
        <v>60</v>
      </c>
      <c r="D59" s="89">
        <v>172848.0</v>
      </c>
      <c r="E59" s="90">
        <v>1.43</v>
      </c>
      <c r="F59" s="91">
        <v>0.6625641025641026</v>
      </c>
    </row>
    <row r="60" ht="15.75" customHeight="1">
      <c r="B60" s="87">
        <v>56.0</v>
      </c>
      <c r="C60" s="88" t="s">
        <v>69</v>
      </c>
      <c r="D60" s="89">
        <v>164318.0</v>
      </c>
      <c r="E60" s="90">
        <v>4.0</v>
      </c>
      <c r="F60" s="91">
        <v>1.29002079002079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8.57"/>
    <col customWidth="1" min="4" max="4" width="11.71"/>
    <col customWidth="1" min="5" max="6" width="15.29"/>
    <col customWidth="1" min="7" max="8" width="14.14"/>
    <col customWidth="1" min="9" max="10" width="10.71"/>
    <col customWidth="1" min="11" max="26" width="10.0"/>
  </cols>
  <sheetData>
    <row r="2" ht="33.0" customHeight="1">
      <c r="B2" s="92" t="s">
        <v>177</v>
      </c>
      <c r="C2" s="93" t="s">
        <v>2</v>
      </c>
      <c r="D2" s="94" t="s">
        <v>182</v>
      </c>
      <c r="E2" s="95" t="s">
        <v>183</v>
      </c>
      <c r="F2" s="10"/>
      <c r="G2" s="95" t="s">
        <v>184</v>
      </c>
      <c r="H2" s="10"/>
      <c r="I2" s="96" t="s">
        <v>185</v>
      </c>
      <c r="J2" s="96" t="s">
        <v>168</v>
      </c>
    </row>
    <row r="3">
      <c r="B3" s="23"/>
      <c r="C3" s="23"/>
      <c r="D3" s="23"/>
      <c r="E3" s="97" t="s">
        <v>186</v>
      </c>
      <c r="F3" s="98" t="s">
        <v>187</v>
      </c>
      <c r="G3" s="97" t="s">
        <v>186</v>
      </c>
      <c r="H3" s="98" t="s">
        <v>187</v>
      </c>
      <c r="I3" s="99"/>
      <c r="J3" s="99"/>
    </row>
    <row r="4">
      <c r="B4" s="56">
        <v>1.0</v>
      </c>
      <c r="C4" s="80" t="s">
        <v>81</v>
      </c>
      <c r="D4" s="58">
        <v>133149.0</v>
      </c>
      <c r="E4" s="59">
        <v>0.32175925925925924</v>
      </c>
      <c r="F4" s="100">
        <v>42.88428752750678</v>
      </c>
      <c r="G4" s="59">
        <v>-0.20457730032695</v>
      </c>
      <c r="H4" s="100">
        <v>127.90182427205612</v>
      </c>
      <c r="I4" s="56" t="s">
        <v>0</v>
      </c>
      <c r="J4" s="56" t="s">
        <v>0</v>
      </c>
    </row>
    <row r="5">
      <c r="B5" s="56">
        <v>2.0</v>
      </c>
      <c r="C5" s="80" t="s">
        <v>54</v>
      </c>
      <c r="D5" s="58">
        <v>118268.0</v>
      </c>
      <c r="E5" s="59">
        <v>0.5918367346938775</v>
      </c>
      <c r="F5" s="100">
        <v>26.380762336388543</v>
      </c>
      <c r="G5" s="59">
        <v>-0.43208863356585964</v>
      </c>
      <c r="H5" s="100">
        <v>117.02235600500558</v>
      </c>
      <c r="I5" s="56" t="s">
        <v>0</v>
      </c>
      <c r="J5" s="56" t="s">
        <v>0</v>
      </c>
    </row>
    <row r="6">
      <c r="B6" s="56">
        <v>3.0</v>
      </c>
      <c r="C6" s="80" t="s">
        <v>60</v>
      </c>
      <c r="D6" s="58">
        <v>172848.0</v>
      </c>
      <c r="E6" s="59">
        <v>1.43</v>
      </c>
      <c r="F6" s="100">
        <v>28.11718966953624</v>
      </c>
      <c r="G6" s="59">
        <v>0.6625641025641026</v>
      </c>
      <c r="H6" s="100">
        <v>93.78181986485235</v>
      </c>
      <c r="I6" s="56" t="s">
        <v>0</v>
      </c>
      <c r="J6" s="56" t="s">
        <v>0</v>
      </c>
    </row>
    <row r="7">
      <c r="B7" s="56">
        <v>4.0</v>
      </c>
      <c r="C7" s="80" t="s">
        <v>55</v>
      </c>
      <c r="D7" s="58">
        <v>146908.0</v>
      </c>
      <c r="E7" s="59">
        <v>0.30962343096234307</v>
      </c>
      <c r="F7" s="100">
        <v>21.30585128107387</v>
      </c>
      <c r="G7" s="59">
        <v>-0.5506282335550629</v>
      </c>
      <c r="H7" s="100">
        <v>82.77289187790998</v>
      </c>
      <c r="I7" s="56" t="s">
        <v>0</v>
      </c>
      <c r="J7" s="56" t="s">
        <v>0</v>
      </c>
    </row>
    <row r="8">
      <c r="B8" s="56">
        <v>5.0</v>
      </c>
      <c r="C8" s="80" t="s">
        <v>80</v>
      </c>
      <c r="D8" s="58">
        <v>334391.0</v>
      </c>
      <c r="E8" s="59">
        <v>-0.09911054637865312</v>
      </c>
      <c r="F8" s="100">
        <v>21.202723757517397</v>
      </c>
      <c r="G8" s="59">
        <v>-0.41934758155230595</v>
      </c>
      <c r="H8" s="100">
        <v>77.18509170402314</v>
      </c>
      <c r="I8" s="56" t="s">
        <v>0</v>
      </c>
      <c r="J8" s="56" t="s">
        <v>0</v>
      </c>
    </row>
    <row r="9">
      <c r="B9" s="56">
        <v>6.0</v>
      </c>
      <c r="C9" s="80" t="s">
        <v>69</v>
      </c>
      <c r="D9" s="58">
        <v>164318.0</v>
      </c>
      <c r="E9" s="59">
        <v>4.0</v>
      </c>
      <c r="F9" s="100">
        <v>13.388673182487615</v>
      </c>
      <c r="G9" s="59">
        <v>1.29002079002079</v>
      </c>
      <c r="H9" s="100">
        <v>134.069304641001</v>
      </c>
      <c r="I9" s="56" t="s">
        <v>0</v>
      </c>
      <c r="J9" s="56" t="s">
        <v>188</v>
      </c>
    </row>
    <row r="10">
      <c r="B10" s="56">
        <v>7.0</v>
      </c>
      <c r="C10" s="80" t="s">
        <v>78</v>
      </c>
      <c r="D10" s="58">
        <v>194589.0</v>
      </c>
      <c r="E10" s="59">
        <v>0.2219020172910663</v>
      </c>
      <c r="F10" s="100">
        <v>21.78951533745484</v>
      </c>
      <c r="G10" s="59">
        <v>0.160676532769556</v>
      </c>
      <c r="H10" s="100">
        <v>56.42662226539013</v>
      </c>
      <c r="I10" s="56" t="s">
        <v>0</v>
      </c>
      <c r="J10" s="56" t="s">
        <v>0</v>
      </c>
    </row>
    <row r="11">
      <c r="B11" s="56">
        <v>8.0</v>
      </c>
      <c r="C11" s="80" t="s">
        <v>61</v>
      </c>
      <c r="D11" s="58">
        <v>79513.0</v>
      </c>
      <c r="E11" s="59">
        <v>0.7333333333333333</v>
      </c>
      <c r="F11" s="100">
        <v>16.349527750179217</v>
      </c>
      <c r="G11" s="59">
        <v>0.36528497409326427</v>
      </c>
      <c r="H11" s="100">
        <v>66.27847018726497</v>
      </c>
      <c r="I11" s="56" t="s">
        <v>0</v>
      </c>
      <c r="J11" s="56" t="s">
        <v>188</v>
      </c>
    </row>
    <row r="12">
      <c r="B12" s="56">
        <v>9.0</v>
      </c>
      <c r="C12" s="80" t="s">
        <v>56</v>
      </c>
      <c r="D12" s="58">
        <v>66371.0</v>
      </c>
      <c r="E12" s="59">
        <v>0.47619047619047616</v>
      </c>
      <c r="F12" s="100">
        <v>18.682858477347033</v>
      </c>
      <c r="G12" s="59">
        <v>0.20833333333333334</v>
      </c>
      <c r="H12" s="100">
        <v>56.80191649967606</v>
      </c>
      <c r="I12" s="56" t="s">
        <v>0</v>
      </c>
      <c r="J12" s="56" t="s">
        <v>0</v>
      </c>
    </row>
    <row r="13">
      <c r="B13" s="56">
        <v>10.0</v>
      </c>
      <c r="C13" s="80" t="s">
        <v>51</v>
      </c>
      <c r="D13" s="58">
        <v>222807.0</v>
      </c>
      <c r="E13" s="59">
        <v>0.35564853556485354</v>
      </c>
      <c r="F13" s="100">
        <v>14.541733428482948</v>
      </c>
      <c r="G13" s="59">
        <v>-0.4337401918047079</v>
      </c>
      <c r="H13" s="100">
        <v>58.30157939382515</v>
      </c>
      <c r="I13" s="82" t="s">
        <v>0</v>
      </c>
      <c r="J13" s="56" t="s">
        <v>0</v>
      </c>
    </row>
    <row r="17">
      <c r="B17" s="101" t="s">
        <v>177</v>
      </c>
      <c r="C17" s="102" t="s">
        <v>2</v>
      </c>
      <c r="D17" s="96" t="s">
        <v>182</v>
      </c>
      <c r="E17" s="103" t="s">
        <v>183</v>
      </c>
      <c r="F17" s="104"/>
      <c r="G17" s="103" t="s">
        <v>184</v>
      </c>
      <c r="H17" s="104"/>
      <c r="I17" s="96" t="s">
        <v>185</v>
      </c>
      <c r="J17" s="105" t="s">
        <v>168</v>
      </c>
    </row>
    <row r="18">
      <c r="B18" s="99"/>
      <c r="C18" s="99"/>
      <c r="D18" s="99"/>
      <c r="E18" s="103" t="s">
        <v>186</v>
      </c>
      <c r="F18" s="103" t="s">
        <v>187</v>
      </c>
      <c r="G18" s="103" t="s">
        <v>186</v>
      </c>
      <c r="H18" s="103" t="s">
        <v>187</v>
      </c>
      <c r="I18" s="99"/>
      <c r="J18" s="99"/>
    </row>
    <row r="19">
      <c r="B19" s="106">
        <v>1.0</v>
      </c>
      <c r="C19" s="107" t="s">
        <v>95</v>
      </c>
      <c r="D19" s="108">
        <v>2063.0</v>
      </c>
      <c r="E19" s="109" t="s">
        <v>41</v>
      </c>
      <c r="F19" s="110">
        <v>0.0</v>
      </c>
      <c r="G19" s="109" t="s">
        <v>41</v>
      </c>
      <c r="H19" s="110">
        <v>0.0</v>
      </c>
      <c r="I19" s="111" t="s">
        <v>41</v>
      </c>
      <c r="J19" s="111" t="s">
        <v>41</v>
      </c>
    </row>
    <row r="20">
      <c r="B20" s="106">
        <v>2.0</v>
      </c>
      <c r="C20" s="107" t="s">
        <v>94</v>
      </c>
      <c r="D20" s="108">
        <v>28401.0</v>
      </c>
      <c r="E20" s="109">
        <v>-1.0</v>
      </c>
      <c r="F20" s="110">
        <v>0.0</v>
      </c>
      <c r="G20" s="109">
        <v>-0.5</v>
      </c>
      <c r="H20" s="110">
        <v>1.0563008344776592</v>
      </c>
      <c r="I20" s="111" t="s">
        <v>41</v>
      </c>
      <c r="J20" s="111" t="s">
        <v>41</v>
      </c>
    </row>
    <row r="21" ht="15.75" customHeight="1">
      <c r="B21" s="106">
        <v>3.0</v>
      </c>
      <c r="C21" s="107" t="s">
        <v>96</v>
      </c>
      <c r="D21" s="108">
        <v>7620.0</v>
      </c>
      <c r="E21" s="109" t="s">
        <v>41</v>
      </c>
      <c r="F21" s="110">
        <v>2.6246719160104988</v>
      </c>
      <c r="G21" s="109" t="s">
        <v>41</v>
      </c>
      <c r="H21" s="110">
        <v>1.3123359580052494</v>
      </c>
      <c r="I21" s="111" t="s">
        <v>41</v>
      </c>
      <c r="J21" s="111" t="s">
        <v>41</v>
      </c>
    </row>
    <row r="22" ht="15.75" customHeight="1">
      <c r="B22" s="106">
        <v>4.0</v>
      </c>
      <c r="C22" s="107" t="s">
        <v>88</v>
      </c>
      <c r="D22" s="108">
        <v>68758.0</v>
      </c>
      <c r="E22" s="109">
        <v>-0.14285714285714285</v>
      </c>
      <c r="F22" s="110">
        <v>1.7452514616480992</v>
      </c>
      <c r="G22" s="109">
        <v>-0.16666666666666666</v>
      </c>
      <c r="H22" s="110">
        <v>7.999069199220455</v>
      </c>
      <c r="I22" s="111" t="s">
        <v>41</v>
      </c>
      <c r="J22" s="111" t="s">
        <v>41</v>
      </c>
    </row>
    <row r="23" ht="15.75" customHeight="1">
      <c r="B23" s="106">
        <v>5.0</v>
      </c>
      <c r="C23" s="107" t="s">
        <v>98</v>
      </c>
      <c r="D23" s="108">
        <v>2872.0</v>
      </c>
      <c r="E23" s="109">
        <v>-1.0</v>
      </c>
      <c r="F23" s="110">
        <v>0.0</v>
      </c>
      <c r="G23" s="109">
        <v>-0.25</v>
      </c>
      <c r="H23" s="110">
        <v>10.445682451253482</v>
      </c>
      <c r="I23" s="111" t="s">
        <v>41</v>
      </c>
      <c r="J23" s="111" t="s">
        <v>41</v>
      </c>
    </row>
    <row r="24" ht="15.75" customHeight="1">
      <c r="B24" s="106">
        <v>6.0</v>
      </c>
      <c r="C24" s="107" t="s">
        <v>86</v>
      </c>
      <c r="D24" s="108">
        <v>110507.0</v>
      </c>
      <c r="E24" s="109">
        <v>-0.07407407407407407</v>
      </c>
      <c r="F24" s="110">
        <v>2.262300125783887</v>
      </c>
      <c r="G24" s="109">
        <v>0.3548387096774194</v>
      </c>
      <c r="H24" s="110">
        <v>11.40199263395079</v>
      </c>
      <c r="I24" s="111" t="s">
        <v>41</v>
      </c>
      <c r="J24" s="111" t="s">
        <v>41</v>
      </c>
    </row>
    <row r="25" ht="15.75" customHeight="1">
      <c r="B25" s="106">
        <v>7.0</v>
      </c>
      <c r="C25" s="107" t="s">
        <v>45</v>
      </c>
      <c r="D25" s="108">
        <v>152190.0</v>
      </c>
      <c r="E25" s="109">
        <v>-0.14754098360655737</v>
      </c>
      <c r="F25" s="110">
        <v>3.416781654510809</v>
      </c>
      <c r="G25" s="109">
        <v>-0.18571428571428572</v>
      </c>
      <c r="H25" s="110">
        <v>7.49063670411985</v>
      </c>
      <c r="I25" s="111" t="s">
        <v>41</v>
      </c>
      <c r="J25" s="111" t="s">
        <v>0</v>
      </c>
    </row>
    <row r="26" ht="15.75" customHeight="1">
      <c r="B26" s="106">
        <v>8.0</v>
      </c>
      <c r="C26" s="107" t="s">
        <v>82</v>
      </c>
      <c r="D26" s="108">
        <v>59622.0</v>
      </c>
      <c r="E26" s="109">
        <v>-0.16666666666666666</v>
      </c>
      <c r="F26" s="110">
        <v>4.193083090134514</v>
      </c>
      <c r="G26" s="109">
        <v>0.17391304347826086</v>
      </c>
      <c r="H26" s="110">
        <v>4.528529737345275</v>
      </c>
      <c r="I26" s="111" t="s">
        <v>41</v>
      </c>
      <c r="J26" s="111" t="s">
        <v>41</v>
      </c>
    </row>
    <row r="27" ht="15.75" customHeight="1">
      <c r="B27" s="106">
        <v>9.0</v>
      </c>
      <c r="C27" s="107" t="s">
        <v>97</v>
      </c>
      <c r="D27" s="108">
        <v>44402.0</v>
      </c>
      <c r="E27" s="109" t="s">
        <v>41</v>
      </c>
      <c r="F27" s="110">
        <v>2.477365884419621</v>
      </c>
      <c r="G27" s="109">
        <v>-0.17142857142857143</v>
      </c>
      <c r="H27" s="110">
        <v>13.062474663303455</v>
      </c>
      <c r="I27" s="111" t="s">
        <v>41</v>
      </c>
      <c r="J27" s="111" t="s">
        <v>41</v>
      </c>
    </row>
    <row r="28" ht="15.75" customHeight="1">
      <c r="B28" s="106">
        <v>10.0</v>
      </c>
      <c r="C28" s="107" t="s">
        <v>43</v>
      </c>
      <c r="D28" s="108">
        <v>549846.0</v>
      </c>
      <c r="E28" s="109">
        <v>-0.2131782945736434</v>
      </c>
      <c r="F28" s="110">
        <v>3.691942834902864</v>
      </c>
      <c r="G28" s="109">
        <v>-0.23249669749009247</v>
      </c>
      <c r="H28" s="110">
        <v>10.566595010239231</v>
      </c>
      <c r="I28" s="111" t="s">
        <v>41</v>
      </c>
      <c r="J28" s="111" t="s">
        <v>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7:B18"/>
    <mergeCell ref="C17:C18"/>
    <mergeCell ref="D17:D18"/>
    <mergeCell ref="E17:F17"/>
    <mergeCell ref="G17:H17"/>
    <mergeCell ref="I17:I18"/>
    <mergeCell ref="J17:J18"/>
    <mergeCell ref="B2:B3"/>
    <mergeCell ref="C2:C3"/>
    <mergeCell ref="D2:D3"/>
    <mergeCell ref="E2:F2"/>
    <mergeCell ref="G2:H2"/>
    <mergeCell ref="I2:I3"/>
    <mergeCell ref="J2:J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0"/>
    <col customWidth="1" min="5" max="5" width="24.71"/>
    <col customWidth="1" min="6" max="6" width="18.29"/>
    <col customWidth="1" min="7" max="26" width="10.0"/>
  </cols>
  <sheetData>
    <row r="1">
      <c r="E1" s="112"/>
    </row>
    <row r="2">
      <c r="E2" s="112"/>
    </row>
    <row r="3" ht="19.5" customHeight="1">
      <c r="D3" s="113" t="s">
        <v>177</v>
      </c>
      <c r="E3" s="114" t="s">
        <v>189</v>
      </c>
      <c r="F3" s="115" t="s">
        <v>190</v>
      </c>
      <c r="G3" s="116"/>
      <c r="H3" s="116"/>
      <c r="I3" s="117"/>
      <c r="J3" s="118" t="s">
        <v>191</v>
      </c>
      <c r="K3" s="119"/>
    </row>
    <row r="4">
      <c r="D4" s="120"/>
      <c r="E4" s="121"/>
      <c r="F4" s="122" t="s">
        <v>192</v>
      </c>
      <c r="G4" s="123"/>
      <c r="H4" s="123"/>
      <c r="I4" s="124"/>
      <c r="J4" s="125"/>
      <c r="K4" s="126"/>
    </row>
    <row r="5">
      <c r="D5" s="127"/>
      <c r="E5" s="128"/>
      <c r="F5" s="129" t="s">
        <v>193</v>
      </c>
      <c r="G5" s="129">
        <v>2026.0</v>
      </c>
      <c r="H5" s="129">
        <v>2027.0</v>
      </c>
      <c r="I5" s="129">
        <v>2028.0</v>
      </c>
      <c r="J5" s="129" t="s">
        <v>194</v>
      </c>
      <c r="K5" s="130" t="s">
        <v>195</v>
      </c>
    </row>
    <row r="6">
      <c r="D6" s="131"/>
      <c r="E6" s="132" t="s">
        <v>196</v>
      </c>
      <c r="F6" s="133">
        <v>62108.0</v>
      </c>
      <c r="G6" s="133">
        <v>7183.0</v>
      </c>
      <c r="H6" s="133">
        <v>22200.0</v>
      </c>
      <c r="I6" s="133">
        <v>2398.0</v>
      </c>
      <c r="J6" s="133">
        <v>1675.0</v>
      </c>
      <c r="K6" s="134">
        <v>2864.0</v>
      </c>
    </row>
    <row r="7">
      <c r="D7" s="131"/>
      <c r="E7" s="135" t="s">
        <v>197</v>
      </c>
      <c r="F7" s="136"/>
      <c r="G7" s="136"/>
      <c r="H7" s="136"/>
      <c r="I7" s="136"/>
      <c r="J7" s="136"/>
      <c r="K7" s="137"/>
    </row>
    <row r="8">
      <c r="D8" s="138">
        <v>1.0</v>
      </c>
      <c r="E8" s="135" t="s">
        <v>81</v>
      </c>
      <c r="F8" s="139">
        <v>4138.0</v>
      </c>
      <c r="G8" s="135" t="s">
        <v>41</v>
      </c>
      <c r="H8" s="135">
        <v>660.0</v>
      </c>
      <c r="I8" s="135" t="s">
        <v>41</v>
      </c>
      <c r="J8" s="135">
        <v>321.0</v>
      </c>
      <c r="K8" s="140">
        <v>221.0</v>
      </c>
    </row>
    <row r="9">
      <c r="D9" s="138">
        <v>2.0</v>
      </c>
      <c r="E9" s="135" t="s">
        <v>69</v>
      </c>
      <c r="F9" s="139">
        <v>2860.0</v>
      </c>
      <c r="G9" s="135">
        <v>930.0</v>
      </c>
      <c r="H9" s="135">
        <v>252.0</v>
      </c>
      <c r="I9" s="135">
        <v>51.0</v>
      </c>
      <c r="J9" s="135">
        <v>221.0</v>
      </c>
      <c r="K9" s="140">
        <v>107.0</v>
      </c>
    </row>
    <row r="10">
      <c r="D10" s="138">
        <v>3.0</v>
      </c>
      <c r="E10" s="135" t="s">
        <v>54</v>
      </c>
      <c r="F10" s="135">
        <v>232.0</v>
      </c>
      <c r="G10" s="135">
        <v>137.0</v>
      </c>
      <c r="H10" s="135" t="s">
        <v>41</v>
      </c>
      <c r="I10" s="135">
        <v>2.0</v>
      </c>
      <c r="J10" s="135">
        <v>9.0</v>
      </c>
      <c r="K10" s="140">
        <v>3.0</v>
      </c>
    </row>
    <row r="11">
      <c r="D11" s="138">
        <v>4.0</v>
      </c>
      <c r="E11" s="135" t="s">
        <v>78</v>
      </c>
      <c r="F11" s="139">
        <v>1028.0</v>
      </c>
      <c r="G11" s="135">
        <v>518.0</v>
      </c>
      <c r="H11" s="135" t="s">
        <v>41</v>
      </c>
      <c r="I11" s="135" t="s">
        <v>41</v>
      </c>
      <c r="J11" s="135">
        <v>73.0</v>
      </c>
      <c r="K11" s="140">
        <v>10.0</v>
      </c>
    </row>
    <row r="12">
      <c r="D12" s="138">
        <v>5.0</v>
      </c>
      <c r="E12" s="135" t="s">
        <v>60</v>
      </c>
      <c r="F12" s="139">
        <v>7092.0</v>
      </c>
      <c r="G12" s="139">
        <v>1264.0</v>
      </c>
      <c r="H12" s="139">
        <v>3697.0</v>
      </c>
      <c r="I12" s="135">
        <v>176.0</v>
      </c>
      <c r="J12" s="135">
        <v>78.0</v>
      </c>
      <c r="K12" s="140">
        <v>529.0</v>
      </c>
    </row>
    <row r="13">
      <c r="D13" s="138">
        <v>6.0</v>
      </c>
      <c r="E13" s="135" t="s">
        <v>55</v>
      </c>
      <c r="F13" s="139">
        <v>19665.0</v>
      </c>
      <c r="G13" s="139">
        <v>2162.0</v>
      </c>
      <c r="H13" s="139">
        <v>5922.0</v>
      </c>
      <c r="I13" s="135" t="s">
        <v>41</v>
      </c>
      <c r="J13" s="135">
        <v>369.0</v>
      </c>
      <c r="K13" s="140">
        <v>787.0</v>
      </c>
    </row>
    <row r="14">
      <c r="D14" s="138">
        <v>7.0</v>
      </c>
      <c r="E14" s="135" t="s">
        <v>80</v>
      </c>
      <c r="F14" s="139">
        <v>14911.0</v>
      </c>
      <c r="G14" s="139">
        <v>2172.0</v>
      </c>
      <c r="H14" s="139">
        <v>6103.0</v>
      </c>
      <c r="I14" s="139">
        <v>1680.0</v>
      </c>
      <c r="J14" s="135">
        <v>343.0</v>
      </c>
      <c r="K14" s="140">
        <v>765.0</v>
      </c>
    </row>
    <row r="15">
      <c r="D15" s="138">
        <v>8.0</v>
      </c>
      <c r="E15" s="135" t="s">
        <v>61</v>
      </c>
      <c r="F15" s="135">
        <v>692.0</v>
      </c>
      <c r="G15" s="135" t="s">
        <v>41</v>
      </c>
      <c r="H15" s="135" t="s">
        <v>41</v>
      </c>
      <c r="I15" s="135">
        <v>436.0</v>
      </c>
      <c r="J15" s="135">
        <v>1.0</v>
      </c>
      <c r="K15" s="140">
        <v>70.0</v>
      </c>
    </row>
    <row r="16">
      <c r="D16" s="138">
        <v>9.0</v>
      </c>
      <c r="E16" s="135" t="s">
        <v>56</v>
      </c>
      <c r="F16" s="135">
        <v>129.0</v>
      </c>
      <c r="G16" s="135" t="s">
        <v>41</v>
      </c>
      <c r="H16" s="135" t="s">
        <v>41</v>
      </c>
      <c r="I16" s="135" t="s">
        <v>41</v>
      </c>
      <c r="J16" s="135">
        <v>11.0</v>
      </c>
      <c r="K16" s="140" t="s">
        <v>41</v>
      </c>
    </row>
    <row r="17">
      <c r="D17" s="138">
        <v>10.0</v>
      </c>
      <c r="E17" s="135" t="s">
        <v>51</v>
      </c>
      <c r="F17" s="139">
        <v>11361.0</v>
      </c>
      <c r="G17" s="135" t="s">
        <v>41</v>
      </c>
      <c r="H17" s="139">
        <v>5566.0</v>
      </c>
      <c r="I17" s="135">
        <v>53.0</v>
      </c>
      <c r="J17" s="135">
        <v>249.0</v>
      </c>
      <c r="K17" s="140">
        <v>372.0</v>
      </c>
    </row>
    <row r="18">
      <c r="E18" s="112"/>
    </row>
    <row r="19">
      <c r="E19" s="112"/>
    </row>
    <row r="20">
      <c r="E20" s="112"/>
    </row>
    <row r="21" ht="15.75" customHeight="1">
      <c r="E21" s="112"/>
    </row>
    <row r="22" ht="15.75" customHeight="1">
      <c r="E22" s="112"/>
    </row>
    <row r="23" ht="15.75" customHeight="1">
      <c r="E23" s="112"/>
    </row>
    <row r="24" ht="15.75" customHeight="1">
      <c r="E24" s="112"/>
    </row>
    <row r="25" ht="15.75" customHeight="1">
      <c r="E25" s="112"/>
    </row>
    <row r="26" ht="15.75" customHeight="1">
      <c r="E26" s="112"/>
    </row>
    <row r="27" ht="15.75" customHeight="1">
      <c r="E27" s="112"/>
    </row>
    <row r="28" ht="15.75" customHeight="1">
      <c r="E28" s="112"/>
    </row>
    <row r="29" ht="15.75" customHeight="1">
      <c r="E29" s="112"/>
    </row>
    <row r="30" ht="15.75" customHeight="1">
      <c r="E30" s="112"/>
    </row>
    <row r="31" ht="15.75" customHeight="1">
      <c r="E31" s="112"/>
    </row>
    <row r="32" ht="15.75" customHeight="1">
      <c r="E32" s="112"/>
    </row>
    <row r="33" ht="15.75" customHeight="1">
      <c r="E33" s="112"/>
    </row>
    <row r="34" ht="15.75" customHeight="1">
      <c r="E34" s="112"/>
    </row>
    <row r="35" ht="15.75" customHeight="1">
      <c r="E35" s="112"/>
    </row>
    <row r="36" ht="15.75" customHeight="1">
      <c r="E36" s="112"/>
    </row>
    <row r="37" ht="15.75" customHeight="1">
      <c r="E37" s="112"/>
    </row>
    <row r="38" ht="15.75" customHeight="1">
      <c r="E38" s="112"/>
    </row>
    <row r="39" ht="15.75" customHeight="1">
      <c r="E39" s="112"/>
    </row>
    <row r="40" ht="15.75" customHeight="1">
      <c r="E40" s="112"/>
    </row>
    <row r="41" ht="15.75" customHeight="1">
      <c r="E41" s="112"/>
    </row>
    <row r="42" ht="15.75" customHeight="1">
      <c r="E42" s="112"/>
    </row>
    <row r="43" ht="15.75" customHeight="1">
      <c r="E43" s="112"/>
    </row>
    <row r="44" ht="15.75" customHeight="1">
      <c r="E44" s="112"/>
    </row>
    <row r="45" ht="15.75" customHeight="1">
      <c r="E45" s="112"/>
    </row>
    <row r="46" ht="15.75" customHeight="1">
      <c r="E46" s="112"/>
    </row>
    <row r="47" ht="15.75" customHeight="1">
      <c r="E47" s="112"/>
    </row>
    <row r="48" ht="15.75" customHeight="1">
      <c r="E48" s="112"/>
    </row>
    <row r="49" ht="15.75" customHeight="1">
      <c r="E49" s="112"/>
    </row>
    <row r="50" ht="15.75" customHeight="1">
      <c r="E50" s="112"/>
    </row>
    <row r="51" ht="15.75" customHeight="1">
      <c r="E51" s="112"/>
    </row>
    <row r="52" ht="15.75" customHeight="1">
      <c r="E52" s="112"/>
    </row>
    <row r="53" ht="15.75" customHeight="1">
      <c r="E53" s="112"/>
    </row>
    <row r="54" ht="15.75" customHeight="1">
      <c r="E54" s="112"/>
    </row>
    <row r="55" ht="15.75" customHeight="1">
      <c r="E55" s="112"/>
    </row>
    <row r="56" ht="15.75" customHeight="1">
      <c r="E56" s="112"/>
    </row>
    <row r="57" ht="15.75" customHeight="1">
      <c r="E57" s="112"/>
    </row>
    <row r="58" ht="15.75" customHeight="1">
      <c r="E58" s="112"/>
    </row>
    <row r="59" ht="15.75" customHeight="1">
      <c r="E59" s="112"/>
    </row>
    <row r="60" ht="15.75" customHeight="1">
      <c r="E60" s="112"/>
    </row>
    <row r="61" ht="15.75" customHeight="1">
      <c r="E61" s="112"/>
    </row>
    <row r="62" ht="15.75" customHeight="1">
      <c r="E62" s="112"/>
    </row>
    <row r="63" ht="15.75" customHeight="1">
      <c r="E63" s="112"/>
    </row>
    <row r="64" ht="15.75" customHeight="1">
      <c r="E64" s="112"/>
    </row>
    <row r="65" ht="15.75" customHeight="1">
      <c r="E65" s="112"/>
    </row>
    <row r="66" ht="15.75" customHeight="1">
      <c r="E66" s="112"/>
    </row>
    <row r="67" ht="15.75" customHeight="1">
      <c r="E67" s="112"/>
    </row>
    <row r="68" ht="15.75" customHeight="1">
      <c r="E68" s="112"/>
    </row>
    <row r="69" ht="15.75" customHeight="1">
      <c r="E69" s="112"/>
    </row>
    <row r="70" ht="15.75" customHeight="1">
      <c r="E70" s="112"/>
    </row>
    <row r="71" ht="15.75" customHeight="1">
      <c r="E71" s="112"/>
    </row>
    <row r="72" ht="15.75" customHeight="1">
      <c r="E72" s="112"/>
    </row>
    <row r="73" ht="15.75" customHeight="1">
      <c r="E73" s="112"/>
    </row>
    <row r="74" ht="15.75" customHeight="1">
      <c r="E74" s="112"/>
    </row>
    <row r="75" ht="15.75" customHeight="1">
      <c r="E75" s="112"/>
    </row>
    <row r="76" ht="15.75" customHeight="1">
      <c r="E76" s="112"/>
    </row>
    <row r="77" ht="15.75" customHeight="1">
      <c r="E77" s="112"/>
    </row>
    <row r="78" ht="15.75" customHeight="1">
      <c r="E78" s="112"/>
    </row>
    <row r="79" ht="15.75" customHeight="1">
      <c r="E79" s="112"/>
    </row>
    <row r="80" ht="15.75" customHeight="1">
      <c r="E80" s="112"/>
    </row>
    <row r="81" ht="15.75" customHeight="1">
      <c r="E81" s="112"/>
    </row>
    <row r="82" ht="15.75" customHeight="1">
      <c r="E82" s="112"/>
    </row>
    <row r="83" ht="15.75" customHeight="1">
      <c r="E83" s="112"/>
    </row>
    <row r="84" ht="15.75" customHeight="1">
      <c r="E84" s="112"/>
    </row>
    <row r="85" ht="15.75" customHeight="1">
      <c r="E85" s="112"/>
    </row>
    <row r="86" ht="15.75" customHeight="1">
      <c r="E86" s="112"/>
    </row>
    <row r="87" ht="15.75" customHeight="1">
      <c r="E87" s="112"/>
    </row>
    <row r="88" ht="15.75" customHeight="1">
      <c r="E88" s="112"/>
    </row>
    <row r="89" ht="15.75" customHeight="1">
      <c r="E89" s="112"/>
    </row>
    <row r="90" ht="15.75" customHeight="1">
      <c r="E90" s="112"/>
    </row>
    <row r="91" ht="15.75" customHeight="1">
      <c r="E91" s="112"/>
    </row>
    <row r="92" ht="15.75" customHeight="1">
      <c r="E92" s="112"/>
    </row>
    <row r="93" ht="15.75" customHeight="1">
      <c r="E93" s="112"/>
    </row>
    <row r="94" ht="15.75" customHeight="1">
      <c r="E94" s="112"/>
    </row>
    <row r="95" ht="15.75" customHeight="1">
      <c r="E95" s="112"/>
    </row>
    <row r="96" ht="15.75" customHeight="1">
      <c r="E96" s="112"/>
    </row>
    <row r="97" ht="15.75" customHeight="1">
      <c r="E97" s="112"/>
    </row>
    <row r="98" ht="15.75" customHeight="1">
      <c r="E98" s="112"/>
    </row>
    <row r="99" ht="15.75" customHeight="1">
      <c r="E99" s="112"/>
    </row>
    <row r="100" ht="15.75" customHeight="1">
      <c r="E100" s="112"/>
    </row>
    <row r="101" ht="15.75" customHeight="1">
      <c r="E101" s="112"/>
    </row>
    <row r="102" ht="15.75" customHeight="1">
      <c r="E102" s="112"/>
    </row>
    <row r="103" ht="15.75" customHeight="1">
      <c r="E103" s="112"/>
    </row>
    <row r="104" ht="15.75" customHeight="1">
      <c r="E104" s="112"/>
    </row>
    <row r="105" ht="15.75" customHeight="1">
      <c r="E105" s="112"/>
    </row>
    <row r="106" ht="15.75" customHeight="1">
      <c r="E106" s="112"/>
    </row>
    <row r="107" ht="15.75" customHeight="1">
      <c r="E107" s="112"/>
    </row>
    <row r="108" ht="15.75" customHeight="1">
      <c r="E108" s="112"/>
    </row>
    <row r="109" ht="15.75" customHeight="1">
      <c r="E109" s="112"/>
    </row>
    <row r="110" ht="15.75" customHeight="1">
      <c r="E110" s="112"/>
    </row>
    <row r="111" ht="15.75" customHeight="1">
      <c r="E111" s="112"/>
    </row>
    <row r="112" ht="15.75" customHeight="1">
      <c r="E112" s="112"/>
    </row>
    <row r="113" ht="15.75" customHeight="1">
      <c r="E113" s="112"/>
    </row>
    <row r="114" ht="15.75" customHeight="1">
      <c r="E114" s="112"/>
    </row>
    <row r="115" ht="15.75" customHeight="1">
      <c r="E115" s="112"/>
    </row>
    <row r="116" ht="15.75" customHeight="1">
      <c r="E116" s="112"/>
    </row>
    <row r="117" ht="15.75" customHeight="1">
      <c r="E117" s="112"/>
    </row>
    <row r="118" ht="15.75" customHeight="1">
      <c r="E118" s="112"/>
    </row>
    <row r="119" ht="15.75" customHeight="1">
      <c r="E119" s="112"/>
    </row>
    <row r="120" ht="15.75" customHeight="1">
      <c r="E120" s="112"/>
    </row>
    <row r="121" ht="15.75" customHeight="1">
      <c r="E121" s="112"/>
    </row>
    <row r="122" ht="15.75" customHeight="1">
      <c r="E122" s="112"/>
    </row>
    <row r="123" ht="15.75" customHeight="1">
      <c r="E123" s="112"/>
    </row>
    <row r="124" ht="15.75" customHeight="1">
      <c r="E124" s="112"/>
    </row>
    <row r="125" ht="15.75" customHeight="1">
      <c r="E125" s="112"/>
    </row>
    <row r="126" ht="15.75" customHeight="1">
      <c r="E126" s="112"/>
    </row>
    <row r="127" ht="15.75" customHeight="1">
      <c r="E127" s="112"/>
    </row>
    <row r="128" ht="15.75" customHeight="1">
      <c r="E128" s="112"/>
    </row>
    <row r="129" ht="15.75" customHeight="1">
      <c r="E129" s="112"/>
    </row>
    <row r="130" ht="15.75" customHeight="1">
      <c r="E130" s="112"/>
    </row>
    <row r="131" ht="15.75" customHeight="1">
      <c r="E131" s="112"/>
    </row>
    <row r="132" ht="15.75" customHeight="1">
      <c r="E132" s="112"/>
    </row>
    <row r="133" ht="15.75" customHeight="1">
      <c r="E133" s="112"/>
    </row>
    <row r="134" ht="15.75" customHeight="1">
      <c r="E134" s="112"/>
    </row>
    <row r="135" ht="15.75" customHeight="1">
      <c r="E135" s="112"/>
    </row>
    <row r="136" ht="15.75" customHeight="1">
      <c r="E136" s="112"/>
    </row>
    <row r="137" ht="15.75" customHeight="1">
      <c r="E137" s="112"/>
    </row>
    <row r="138" ht="15.75" customHeight="1">
      <c r="E138" s="112"/>
    </row>
    <row r="139" ht="15.75" customHeight="1">
      <c r="E139" s="112"/>
    </row>
    <row r="140" ht="15.75" customHeight="1">
      <c r="E140" s="112"/>
    </row>
    <row r="141" ht="15.75" customHeight="1">
      <c r="E141" s="112"/>
    </row>
    <row r="142" ht="15.75" customHeight="1">
      <c r="E142" s="112"/>
    </row>
    <row r="143" ht="15.75" customHeight="1">
      <c r="E143" s="112"/>
    </row>
    <row r="144" ht="15.75" customHeight="1">
      <c r="E144" s="112"/>
    </row>
    <row r="145" ht="15.75" customHeight="1">
      <c r="E145" s="112"/>
    </row>
    <row r="146" ht="15.75" customHeight="1">
      <c r="E146" s="112"/>
    </row>
    <row r="147" ht="15.75" customHeight="1">
      <c r="E147" s="112"/>
    </row>
    <row r="148" ht="15.75" customHeight="1">
      <c r="E148" s="112"/>
    </row>
    <row r="149" ht="15.75" customHeight="1">
      <c r="E149" s="112"/>
    </row>
    <row r="150" ht="15.75" customHeight="1">
      <c r="E150" s="112"/>
    </row>
    <row r="151" ht="15.75" customHeight="1">
      <c r="E151" s="112"/>
    </row>
    <row r="152" ht="15.75" customHeight="1">
      <c r="E152" s="112"/>
    </row>
    <row r="153" ht="15.75" customHeight="1">
      <c r="E153" s="112"/>
    </row>
    <row r="154" ht="15.75" customHeight="1">
      <c r="E154" s="112"/>
    </row>
    <row r="155" ht="15.75" customHeight="1">
      <c r="E155" s="112"/>
    </row>
    <row r="156" ht="15.75" customHeight="1">
      <c r="E156" s="112"/>
    </row>
    <row r="157" ht="15.75" customHeight="1">
      <c r="E157" s="112"/>
    </row>
    <row r="158" ht="15.75" customHeight="1">
      <c r="E158" s="112"/>
    </row>
    <row r="159" ht="15.75" customHeight="1">
      <c r="E159" s="112"/>
    </row>
    <row r="160" ht="15.75" customHeight="1">
      <c r="E160" s="112"/>
    </row>
    <row r="161" ht="15.75" customHeight="1">
      <c r="E161" s="112"/>
    </row>
    <row r="162" ht="15.75" customHeight="1">
      <c r="E162" s="112"/>
    </row>
    <row r="163" ht="15.75" customHeight="1">
      <c r="E163" s="112"/>
    </row>
    <row r="164" ht="15.75" customHeight="1">
      <c r="E164" s="112"/>
    </row>
    <row r="165" ht="15.75" customHeight="1">
      <c r="E165" s="112"/>
    </row>
    <row r="166" ht="15.75" customHeight="1">
      <c r="E166" s="112"/>
    </row>
    <row r="167" ht="15.75" customHeight="1">
      <c r="E167" s="112"/>
    </row>
    <row r="168" ht="15.75" customHeight="1">
      <c r="E168" s="112"/>
    </row>
    <row r="169" ht="15.75" customHeight="1">
      <c r="E169" s="112"/>
    </row>
    <row r="170" ht="15.75" customHeight="1">
      <c r="E170" s="112"/>
    </row>
    <row r="171" ht="15.75" customHeight="1">
      <c r="E171" s="112"/>
    </row>
    <row r="172" ht="15.75" customHeight="1">
      <c r="E172" s="112"/>
    </row>
    <row r="173" ht="15.75" customHeight="1">
      <c r="E173" s="112"/>
    </row>
    <row r="174" ht="15.75" customHeight="1">
      <c r="E174" s="112"/>
    </row>
    <row r="175" ht="15.75" customHeight="1">
      <c r="E175" s="112"/>
    </row>
    <row r="176" ht="15.75" customHeight="1">
      <c r="E176" s="112"/>
    </row>
    <row r="177" ht="15.75" customHeight="1">
      <c r="E177" s="112"/>
    </row>
    <row r="178" ht="15.75" customHeight="1">
      <c r="E178" s="112"/>
    </row>
    <row r="179" ht="15.75" customHeight="1">
      <c r="E179" s="112"/>
    </row>
    <row r="180" ht="15.75" customHeight="1">
      <c r="E180" s="112"/>
    </row>
    <row r="181" ht="15.75" customHeight="1">
      <c r="E181" s="112"/>
    </row>
    <row r="182" ht="15.75" customHeight="1">
      <c r="E182" s="112"/>
    </row>
    <row r="183" ht="15.75" customHeight="1">
      <c r="E183" s="112"/>
    </row>
    <row r="184" ht="15.75" customHeight="1">
      <c r="E184" s="112"/>
    </row>
    <row r="185" ht="15.75" customHeight="1">
      <c r="E185" s="112"/>
    </row>
    <row r="186" ht="15.75" customHeight="1">
      <c r="E186" s="112"/>
    </row>
    <row r="187" ht="15.75" customHeight="1">
      <c r="E187" s="112"/>
    </row>
    <row r="188" ht="15.75" customHeight="1">
      <c r="E188" s="112"/>
    </row>
    <row r="189" ht="15.75" customHeight="1">
      <c r="E189" s="112"/>
    </row>
    <row r="190" ht="15.75" customHeight="1">
      <c r="E190" s="112"/>
    </row>
    <row r="191" ht="15.75" customHeight="1">
      <c r="E191" s="112"/>
    </row>
    <row r="192" ht="15.75" customHeight="1">
      <c r="E192" s="112"/>
    </row>
    <row r="193" ht="15.75" customHeight="1">
      <c r="E193" s="112"/>
    </row>
    <row r="194" ht="15.75" customHeight="1">
      <c r="E194" s="112"/>
    </row>
    <row r="195" ht="15.75" customHeight="1">
      <c r="E195" s="112"/>
    </row>
    <row r="196" ht="15.75" customHeight="1">
      <c r="E196" s="112"/>
    </row>
    <row r="197" ht="15.75" customHeight="1">
      <c r="E197" s="112"/>
    </row>
    <row r="198" ht="15.75" customHeight="1">
      <c r="E198" s="112"/>
    </row>
    <row r="199" ht="15.75" customHeight="1">
      <c r="E199" s="112"/>
    </row>
    <row r="200" ht="15.75" customHeight="1">
      <c r="E200" s="112"/>
    </row>
    <row r="201" ht="15.75" customHeight="1">
      <c r="E201" s="112"/>
    </row>
    <row r="202" ht="15.75" customHeight="1">
      <c r="E202" s="112"/>
    </row>
    <row r="203" ht="15.75" customHeight="1">
      <c r="E203" s="112"/>
    </row>
    <row r="204" ht="15.75" customHeight="1">
      <c r="E204" s="112"/>
    </row>
    <row r="205" ht="15.75" customHeight="1">
      <c r="E205" s="112"/>
    </row>
    <row r="206" ht="15.75" customHeight="1">
      <c r="E206" s="112"/>
    </row>
    <row r="207" ht="15.75" customHeight="1">
      <c r="E207" s="112"/>
    </row>
    <row r="208" ht="15.75" customHeight="1">
      <c r="E208" s="112"/>
    </row>
    <row r="209" ht="15.75" customHeight="1">
      <c r="E209" s="112"/>
    </row>
    <row r="210" ht="15.75" customHeight="1">
      <c r="E210" s="112"/>
    </row>
    <row r="211" ht="15.75" customHeight="1">
      <c r="E211" s="112"/>
    </row>
    <row r="212" ht="15.75" customHeight="1">
      <c r="E212" s="112"/>
    </row>
    <row r="213" ht="15.75" customHeight="1">
      <c r="E213" s="112"/>
    </row>
    <row r="214" ht="15.75" customHeight="1">
      <c r="E214" s="112"/>
    </row>
    <row r="215" ht="15.75" customHeight="1">
      <c r="E215" s="112"/>
    </row>
    <row r="216" ht="15.75" customHeight="1">
      <c r="E216" s="112"/>
    </row>
    <row r="217" ht="15.75" customHeight="1">
      <c r="E217" s="112"/>
    </row>
    <row r="218" ht="15.75" customHeight="1">
      <c r="E218" s="112"/>
    </row>
    <row r="219" ht="15.75" customHeight="1">
      <c r="E219" s="112"/>
    </row>
    <row r="220" ht="15.75" customHeight="1">
      <c r="E220" s="112"/>
    </row>
    <row r="221" ht="15.75" customHeight="1">
      <c r="E221" s="112"/>
    </row>
    <row r="222" ht="15.75" customHeight="1">
      <c r="E222" s="112"/>
    </row>
    <row r="223" ht="15.75" customHeight="1">
      <c r="E223" s="112"/>
    </row>
    <row r="224" ht="15.75" customHeight="1">
      <c r="E224" s="112"/>
    </row>
    <row r="225" ht="15.75" customHeight="1">
      <c r="E225" s="112"/>
    </row>
    <row r="226" ht="15.75" customHeight="1">
      <c r="E226" s="112"/>
    </row>
    <row r="227" ht="15.75" customHeight="1">
      <c r="E227" s="112"/>
    </row>
    <row r="228" ht="15.75" customHeight="1">
      <c r="E228" s="112"/>
    </row>
    <row r="229" ht="15.75" customHeight="1">
      <c r="E229" s="112"/>
    </row>
    <row r="230" ht="15.75" customHeight="1">
      <c r="E230" s="112"/>
    </row>
    <row r="231" ht="15.75" customHeight="1">
      <c r="E231" s="112"/>
    </row>
    <row r="232" ht="15.75" customHeight="1">
      <c r="E232" s="112"/>
    </row>
    <row r="233" ht="15.75" customHeight="1">
      <c r="E233" s="112"/>
    </row>
    <row r="234" ht="15.75" customHeight="1">
      <c r="E234" s="112"/>
    </row>
    <row r="235" ht="15.75" customHeight="1">
      <c r="E235" s="112"/>
    </row>
    <row r="236" ht="15.75" customHeight="1">
      <c r="E236" s="112"/>
    </row>
    <row r="237" ht="15.75" customHeight="1">
      <c r="E237" s="112"/>
    </row>
    <row r="238" ht="15.75" customHeight="1">
      <c r="E238" s="112"/>
    </row>
    <row r="239" ht="15.75" customHeight="1">
      <c r="E239" s="112"/>
    </row>
    <row r="240" ht="15.75" customHeight="1">
      <c r="E240" s="112"/>
    </row>
    <row r="241" ht="15.75" customHeight="1">
      <c r="E241" s="112"/>
    </row>
    <row r="242" ht="15.75" customHeight="1">
      <c r="E242" s="112"/>
    </row>
    <row r="243" ht="15.75" customHeight="1">
      <c r="E243" s="112"/>
    </row>
    <row r="244" ht="15.75" customHeight="1">
      <c r="E244" s="112"/>
    </row>
    <row r="245" ht="15.75" customHeight="1">
      <c r="E245" s="112"/>
    </row>
    <row r="246" ht="15.75" customHeight="1">
      <c r="E246" s="112"/>
    </row>
    <row r="247" ht="15.75" customHeight="1">
      <c r="E247" s="112"/>
    </row>
    <row r="248" ht="15.75" customHeight="1">
      <c r="E248" s="112"/>
    </row>
    <row r="249" ht="15.75" customHeight="1">
      <c r="E249" s="112"/>
    </row>
    <row r="250" ht="15.75" customHeight="1">
      <c r="E250" s="112"/>
    </row>
    <row r="251" ht="15.75" customHeight="1">
      <c r="E251" s="112"/>
    </row>
    <row r="252" ht="15.75" customHeight="1">
      <c r="E252" s="112"/>
    </row>
    <row r="253" ht="15.75" customHeight="1">
      <c r="E253" s="112"/>
    </row>
    <row r="254" ht="15.75" customHeight="1">
      <c r="E254" s="112"/>
    </row>
    <row r="255" ht="15.75" customHeight="1">
      <c r="E255" s="112"/>
    </row>
    <row r="256" ht="15.75" customHeight="1">
      <c r="E256" s="112"/>
    </row>
    <row r="257" ht="15.75" customHeight="1">
      <c r="E257" s="112"/>
    </row>
    <row r="258" ht="15.75" customHeight="1">
      <c r="E258" s="112"/>
    </row>
    <row r="259" ht="15.75" customHeight="1">
      <c r="E259" s="112"/>
    </row>
    <row r="260" ht="15.75" customHeight="1">
      <c r="E260" s="112"/>
    </row>
    <row r="261" ht="15.75" customHeight="1">
      <c r="E261" s="112"/>
    </row>
    <row r="262" ht="15.75" customHeight="1">
      <c r="E262" s="112"/>
    </row>
    <row r="263" ht="15.75" customHeight="1">
      <c r="E263" s="112"/>
    </row>
    <row r="264" ht="15.75" customHeight="1">
      <c r="E264" s="112"/>
    </row>
    <row r="265" ht="15.75" customHeight="1">
      <c r="E265" s="112"/>
    </row>
    <row r="266" ht="15.75" customHeight="1">
      <c r="E266" s="112"/>
    </row>
    <row r="267" ht="15.75" customHeight="1">
      <c r="E267" s="112"/>
    </row>
    <row r="268" ht="15.75" customHeight="1">
      <c r="E268" s="112"/>
    </row>
    <row r="269" ht="15.75" customHeight="1">
      <c r="E269" s="112"/>
    </row>
    <row r="270" ht="15.75" customHeight="1">
      <c r="E270" s="112"/>
    </row>
    <row r="271" ht="15.75" customHeight="1">
      <c r="E271" s="112"/>
    </row>
    <row r="272" ht="15.75" customHeight="1">
      <c r="E272" s="112"/>
    </row>
    <row r="273" ht="15.75" customHeight="1">
      <c r="E273" s="112"/>
    </row>
    <row r="274" ht="15.75" customHeight="1">
      <c r="E274" s="112"/>
    </row>
    <row r="275" ht="15.75" customHeight="1">
      <c r="E275" s="112"/>
    </row>
    <row r="276" ht="15.75" customHeight="1">
      <c r="E276" s="112"/>
    </row>
    <row r="277" ht="15.75" customHeight="1">
      <c r="E277" s="112"/>
    </row>
    <row r="278" ht="15.75" customHeight="1">
      <c r="E278" s="112"/>
    </row>
    <row r="279" ht="15.75" customHeight="1">
      <c r="E279" s="112"/>
    </row>
    <row r="280" ht="15.75" customHeight="1">
      <c r="E280" s="112"/>
    </row>
    <row r="281" ht="15.75" customHeight="1">
      <c r="E281" s="112"/>
    </row>
    <row r="282" ht="15.75" customHeight="1">
      <c r="E282" s="112"/>
    </row>
    <row r="283" ht="15.75" customHeight="1">
      <c r="E283" s="112"/>
    </row>
    <row r="284" ht="15.75" customHeight="1">
      <c r="E284" s="112"/>
    </row>
    <row r="285" ht="15.75" customHeight="1">
      <c r="E285" s="112"/>
    </row>
    <row r="286" ht="15.75" customHeight="1">
      <c r="E286" s="112"/>
    </row>
    <row r="287" ht="15.75" customHeight="1">
      <c r="E287" s="112"/>
    </row>
    <row r="288" ht="15.75" customHeight="1">
      <c r="E288" s="112"/>
    </row>
    <row r="289" ht="15.75" customHeight="1">
      <c r="E289" s="112"/>
    </row>
    <row r="290" ht="15.75" customHeight="1">
      <c r="E290" s="112"/>
    </row>
    <row r="291" ht="15.75" customHeight="1">
      <c r="E291" s="112"/>
    </row>
    <row r="292" ht="15.75" customHeight="1">
      <c r="E292" s="112"/>
    </row>
    <row r="293" ht="15.75" customHeight="1">
      <c r="E293" s="112"/>
    </row>
    <row r="294" ht="15.75" customHeight="1">
      <c r="E294" s="112"/>
    </row>
    <row r="295" ht="15.75" customHeight="1">
      <c r="E295" s="112"/>
    </row>
    <row r="296" ht="15.75" customHeight="1">
      <c r="E296" s="112"/>
    </row>
    <row r="297" ht="15.75" customHeight="1">
      <c r="E297" s="112"/>
    </row>
    <row r="298" ht="15.75" customHeight="1">
      <c r="E298" s="112"/>
    </row>
    <row r="299" ht="15.75" customHeight="1">
      <c r="E299" s="112"/>
    </row>
    <row r="300" ht="15.75" customHeight="1">
      <c r="E300" s="112"/>
    </row>
    <row r="301" ht="15.75" customHeight="1">
      <c r="E301" s="112"/>
    </row>
    <row r="302" ht="15.75" customHeight="1">
      <c r="E302" s="112"/>
    </row>
    <row r="303" ht="15.75" customHeight="1">
      <c r="E303" s="112"/>
    </row>
    <row r="304" ht="15.75" customHeight="1">
      <c r="E304" s="112"/>
    </row>
    <row r="305" ht="15.75" customHeight="1">
      <c r="E305" s="112"/>
    </row>
    <row r="306" ht="15.75" customHeight="1">
      <c r="E306" s="112"/>
    </row>
    <row r="307" ht="15.75" customHeight="1">
      <c r="E307" s="112"/>
    </row>
    <row r="308" ht="15.75" customHeight="1">
      <c r="E308" s="112"/>
    </row>
    <row r="309" ht="15.75" customHeight="1">
      <c r="E309" s="112"/>
    </row>
    <row r="310" ht="15.75" customHeight="1">
      <c r="E310" s="112"/>
    </row>
    <row r="311" ht="15.75" customHeight="1">
      <c r="E311" s="112"/>
    </row>
    <row r="312" ht="15.75" customHeight="1">
      <c r="E312" s="112"/>
    </row>
    <row r="313" ht="15.75" customHeight="1">
      <c r="E313" s="112"/>
    </row>
    <row r="314" ht="15.75" customHeight="1">
      <c r="E314" s="112"/>
    </row>
    <row r="315" ht="15.75" customHeight="1">
      <c r="E315" s="112"/>
    </row>
    <row r="316" ht="15.75" customHeight="1">
      <c r="E316" s="112"/>
    </row>
    <row r="317" ht="15.75" customHeight="1">
      <c r="E317" s="112"/>
    </row>
    <row r="318" ht="15.75" customHeight="1">
      <c r="E318" s="112"/>
    </row>
    <row r="319" ht="15.75" customHeight="1">
      <c r="E319" s="112"/>
    </row>
    <row r="320" ht="15.75" customHeight="1">
      <c r="E320" s="112"/>
    </row>
    <row r="321" ht="15.75" customHeight="1">
      <c r="E321" s="112"/>
    </row>
    <row r="322" ht="15.75" customHeight="1">
      <c r="E322" s="112"/>
    </row>
    <row r="323" ht="15.75" customHeight="1">
      <c r="E323" s="112"/>
    </row>
    <row r="324" ht="15.75" customHeight="1">
      <c r="E324" s="112"/>
    </row>
    <row r="325" ht="15.75" customHeight="1">
      <c r="E325" s="112"/>
    </row>
    <row r="326" ht="15.75" customHeight="1">
      <c r="E326" s="112"/>
    </row>
    <row r="327" ht="15.75" customHeight="1">
      <c r="E327" s="112"/>
    </row>
    <row r="328" ht="15.75" customHeight="1">
      <c r="E328" s="112"/>
    </row>
    <row r="329" ht="15.75" customHeight="1">
      <c r="E329" s="112"/>
    </row>
    <row r="330" ht="15.75" customHeight="1">
      <c r="E330" s="112"/>
    </row>
    <row r="331" ht="15.75" customHeight="1">
      <c r="E331" s="112"/>
    </row>
    <row r="332" ht="15.75" customHeight="1">
      <c r="E332" s="112"/>
    </row>
    <row r="333" ht="15.75" customHeight="1">
      <c r="E333" s="112"/>
    </row>
    <row r="334" ht="15.75" customHeight="1">
      <c r="E334" s="112"/>
    </row>
    <row r="335" ht="15.75" customHeight="1">
      <c r="E335" s="112"/>
    </row>
    <row r="336" ht="15.75" customHeight="1">
      <c r="E336" s="112"/>
    </row>
    <row r="337" ht="15.75" customHeight="1">
      <c r="E337" s="112"/>
    </row>
    <row r="338" ht="15.75" customHeight="1">
      <c r="E338" s="112"/>
    </row>
    <row r="339" ht="15.75" customHeight="1">
      <c r="E339" s="112"/>
    </row>
    <row r="340" ht="15.75" customHeight="1">
      <c r="E340" s="112"/>
    </row>
    <row r="341" ht="15.75" customHeight="1">
      <c r="E341" s="112"/>
    </row>
    <row r="342" ht="15.75" customHeight="1">
      <c r="E342" s="112"/>
    </row>
    <row r="343" ht="15.75" customHeight="1">
      <c r="E343" s="112"/>
    </row>
    <row r="344" ht="15.75" customHeight="1">
      <c r="E344" s="112"/>
    </row>
    <row r="345" ht="15.75" customHeight="1">
      <c r="E345" s="112"/>
    </row>
    <row r="346" ht="15.75" customHeight="1">
      <c r="E346" s="112"/>
    </row>
    <row r="347" ht="15.75" customHeight="1">
      <c r="E347" s="112"/>
    </row>
    <row r="348" ht="15.75" customHeight="1">
      <c r="E348" s="112"/>
    </row>
    <row r="349" ht="15.75" customHeight="1">
      <c r="E349" s="112"/>
    </row>
    <row r="350" ht="15.75" customHeight="1">
      <c r="E350" s="112"/>
    </row>
    <row r="351" ht="15.75" customHeight="1">
      <c r="E351" s="112"/>
    </row>
    <row r="352" ht="15.75" customHeight="1">
      <c r="E352" s="112"/>
    </row>
    <row r="353" ht="15.75" customHeight="1">
      <c r="E353" s="112"/>
    </row>
    <row r="354" ht="15.75" customHeight="1">
      <c r="E354" s="112"/>
    </row>
    <row r="355" ht="15.75" customHeight="1">
      <c r="E355" s="112"/>
    </row>
    <row r="356" ht="15.75" customHeight="1">
      <c r="E356" s="112"/>
    </row>
    <row r="357" ht="15.75" customHeight="1">
      <c r="E357" s="112"/>
    </row>
    <row r="358" ht="15.75" customHeight="1">
      <c r="E358" s="112"/>
    </row>
    <row r="359" ht="15.75" customHeight="1">
      <c r="E359" s="112"/>
    </row>
    <row r="360" ht="15.75" customHeight="1">
      <c r="E360" s="112"/>
    </row>
    <row r="361" ht="15.75" customHeight="1">
      <c r="E361" s="112"/>
    </row>
    <row r="362" ht="15.75" customHeight="1">
      <c r="E362" s="112"/>
    </row>
    <row r="363" ht="15.75" customHeight="1">
      <c r="E363" s="112"/>
    </row>
    <row r="364" ht="15.75" customHeight="1">
      <c r="E364" s="112"/>
    </row>
    <row r="365" ht="15.75" customHeight="1">
      <c r="E365" s="112"/>
    </row>
    <row r="366" ht="15.75" customHeight="1">
      <c r="E366" s="112"/>
    </row>
    <row r="367" ht="15.75" customHeight="1">
      <c r="E367" s="112"/>
    </row>
    <row r="368" ht="15.75" customHeight="1">
      <c r="E368" s="112"/>
    </row>
    <row r="369" ht="15.75" customHeight="1">
      <c r="E369" s="112"/>
    </row>
    <row r="370" ht="15.75" customHeight="1">
      <c r="E370" s="112"/>
    </row>
    <row r="371" ht="15.75" customHeight="1">
      <c r="E371" s="112"/>
    </row>
    <row r="372" ht="15.75" customHeight="1">
      <c r="E372" s="112"/>
    </row>
    <row r="373" ht="15.75" customHeight="1">
      <c r="E373" s="112"/>
    </row>
    <row r="374" ht="15.75" customHeight="1">
      <c r="E374" s="112"/>
    </row>
    <row r="375" ht="15.75" customHeight="1">
      <c r="E375" s="112"/>
    </row>
    <row r="376" ht="15.75" customHeight="1">
      <c r="E376" s="112"/>
    </row>
    <row r="377" ht="15.75" customHeight="1">
      <c r="E377" s="112"/>
    </row>
    <row r="378" ht="15.75" customHeight="1">
      <c r="E378" s="112"/>
    </row>
    <row r="379" ht="15.75" customHeight="1">
      <c r="E379" s="112"/>
    </row>
    <row r="380" ht="15.75" customHeight="1">
      <c r="E380" s="112"/>
    </row>
    <row r="381" ht="15.75" customHeight="1">
      <c r="E381" s="112"/>
    </row>
    <row r="382" ht="15.75" customHeight="1">
      <c r="E382" s="112"/>
    </row>
    <row r="383" ht="15.75" customHeight="1">
      <c r="E383" s="112"/>
    </row>
    <row r="384" ht="15.75" customHeight="1">
      <c r="E384" s="112"/>
    </row>
    <row r="385" ht="15.75" customHeight="1">
      <c r="E385" s="112"/>
    </row>
    <row r="386" ht="15.75" customHeight="1">
      <c r="E386" s="112"/>
    </row>
    <row r="387" ht="15.75" customHeight="1">
      <c r="E387" s="112"/>
    </row>
    <row r="388" ht="15.75" customHeight="1">
      <c r="E388" s="112"/>
    </row>
    <row r="389" ht="15.75" customHeight="1">
      <c r="E389" s="112"/>
    </row>
    <row r="390" ht="15.75" customHeight="1">
      <c r="E390" s="112"/>
    </row>
    <row r="391" ht="15.75" customHeight="1">
      <c r="E391" s="112"/>
    </row>
    <row r="392" ht="15.75" customHeight="1">
      <c r="E392" s="112"/>
    </row>
    <row r="393" ht="15.75" customHeight="1">
      <c r="E393" s="112"/>
    </row>
    <row r="394" ht="15.75" customHeight="1">
      <c r="E394" s="112"/>
    </row>
    <row r="395" ht="15.75" customHeight="1">
      <c r="E395" s="112"/>
    </row>
    <row r="396" ht="15.75" customHeight="1">
      <c r="E396" s="112"/>
    </row>
    <row r="397" ht="15.75" customHeight="1">
      <c r="E397" s="112"/>
    </row>
    <row r="398" ht="15.75" customHeight="1">
      <c r="E398" s="112"/>
    </row>
    <row r="399" ht="15.75" customHeight="1">
      <c r="E399" s="112"/>
    </row>
    <row r="400" ht="15.75" customHeight="1">
      <c r="E400" s="112"/>
    </row>
    <row r="401" ht="15.75" customHeight="1">
      <c r="E401" s="112"/>
    </row>
    <row r="402" ht="15.75" customHeight="1">
      <c r="E402" s="112"/>
    </row>
    <row r="403" ht="15.75" customHeight="1">
      <c r="E403" s="112"/>
    </row>
    <row r="404" ht="15.75" customHeight="1">
      <c r="E404" s="112"/>
    </row>
    <row r="405" ht="15.75" customHeight="1">
      <c r="E405" s="112"/>
    </row>
    <row r="406" ht="15.75" customHeight="1">
      <c r="E406" s="112"/>
    </row>
    <row r="407" ht="15.75" customHeight="1">
      <c r="E407" s="112"/>
    </row>
    <row r="408" ht="15.75" customHeight="1">
      <c r="E408" s="112"/>
    </row>
    <row r="409" ht="15.75" customHeight="1">
      <c r="E409" s="112"/>
    </row>
    <row r="410" ht="15.75" customHeight="1">
      <c r="E410" s="112"/>
    </row>
    <row r="411" ht="15.75" customHeight="1">
      <c r="E411" s="112"/>
    </row>
    <row r="412" ht="15.75" customHeight="1">
      <c r="E412" s="112"/>
    </row>
    <row r="413" ht="15.75" customHeight="1">
      <c r="E413" s="112"/>
    </row>
    <row r="414" ht="15.75" customHeight="1">
      <c r="E414" s="112"/>
    </row>
    <row r="415" ht="15.75" customHeight="1">
      <c r="E415" s="112"/>
    </row>
    <row r="416" ht="15.75" customHeight="1">
      <c r="E416" s="112"/>
    </row>
    <row r="417" ht="15.75" customHeight="1">
      <c r="E417" s="112"/>
    </row>
    <row r="418" ht="15.75" customHeight="1">
      <c r="E418" s="112"/>
    </row>
    <row r="419" ht="15.75" customHeight="1">
      <c r="E419" s="112"/>
    </row>
    <row r="420" ht="15.75" customHeight="1">
      <c r="E420" s="112"/>
    </row>
    <row r="421" ht="15.75" customHeight="1">
      <c r="E421" s="112"/>
    </row>
    <row r="422" ht="15.75" customHeight="1">
      <c r="E422" s="112"/>
    </row>
    <row r="423" ht="15.75" customHeight="1">
      <c r="E423" s="112"/>
    </row>
    <row r="424" ht="15.75" customHeight="1">
      <c r="E424" s="112"/>
    </row>
    <row r="425" ht="15.75" customHeight="1">
      <c r="E425" s="112"/>
    </row>
    <row r="426" ht="15.75" customHeight="1">
      <c r="E426" s="112"/>
    </row>
    <row r="427" ht="15.75" customHeight="1">
      <c r="E427" s="112"/>
    </row>
    <row r="428" ht="15.75" customHeight="1">
      <c r="E428" s="112"/>
    </row>
    <row r="429" ht="15.75" customHeight="1">
      <c r="E429" s="112"/>
    </row>
    <row r="430" ht="15.75" customHeight="1">
      <c r="E430" s="112"/>
    </row>
    <row r="431" ht="15.75" customHeight="1">
      <c r="E431" s="112"/>
    </row>
    <row r="432" ht="15.75" customHeight="1">
      <c r="E432" s="112"/>
    </row>
    <row r="433" ht="15.75" customHeight="1">
      <c r="E433" s="112"/>
    </row>
    <row r="434" ht="15.75" customHeight="1">
      <c r="E434" s="112"/>
    </row>
    <row r="435" ht="15.75" customHeight="1">
      <c r="E435" s="112"/>
    </row>
    <row r="436" ht="15.75" customHeight="1">
      <c r="E436" s="112"/>
    </row>
    <row r="437" ht="15.75" customHeight="1">
      <c r="E437" s="112"/>
    </row>
    <row r="438" ht="15.75" customHeight="1">
      <c r="E438" s="112"/>
    </row>
    <row r="439" ht="15.75" customHeight="1">
      <c r="E439" s="112"/>
    </row>
    <row r="440" ht="15.75" customHeight="1">
      <c r="E440" s="112"/>
    </row>
    <row r="441" ht="15.75" customHeight="1">
      <c r="E441" s="112"/>
    </row>
    <row r="442" ht="15.75" customHeight="1">
      <c r="E442" s="112"/>
    </row>
    <row r="443" ht="15.75" customHeight="1">
      <c r="E443" s="112"/>
    </row>
    <row r="444" ht="15.75" customHeight="1">
      <c r="E444" s="112"/>
    </row>
    <row r="445" ht="15.75" customHeight="1">
      <c r="E445" s="112"/>
    </row>
    <row r="446" ht="15.75" customHeight="1">
      <c r="E446" s="112"/>
    </row>
    <row r="447" ht="15.75" customHeight="1">
      <c r="E447" s="112"/>
    </row>
    <row r="448" ht="15.75" customHeight="1">
      <c r="E448" s="112"/>
    </row>
    <row r="449" ht="15.75" customHeight="1">
      <c r="E449" s="112"/>
    </row>
    <row r="450" ht="15.75" customHeight="1">
      <c r="E450" s="112"/>
    </row>
    <row r="451" ht="15.75" customHeight="1">
      <c r="E451" s="112"/>
    </row>
    <row r="452" ht="15.75" customHeight="1">
      <c r="E452" s="112"/>
    </row>
    <row r="453" ht="15.75" customHeight="1">
      <c r="E453" s="112"/>
    </row>
    <row r="454" ht="15.75" customHeight="1">
      <c r="E454" s="112"/>
    </row>
    <row r="455" ht="15.75" customHeight="1">
      <c r="E455" s="112"/>
    </row>
    <row r="456" ht="15.75" customHeight="1">
      <c r="E456" s="112"/>
    </row>
    <row r="457" ht="15.75" customHeight="1">
      <c r="E457" s="112"/>
    </row>
    <row r="458" ht="15.75" customHeight="1">
      <c r="E458" s="112"/>
    </row>
    <row r="459" ht="15.75" customHeight="1">
      <c r="E459" s="112"/>
    </row>
    <row r="460" ht="15.75" customHeight="1">
      <c r="E460" s="112"/>
    </row>
    <row r="461" ht="15.75" customHeight="1">
      <c r="E461" s="112"/>
    </row>
    <row r="462" ht="15.75" customHeight="1">
      <c r="E462" s="112"/>
    </row>
    <row r="463" ht="15.75" customHeight="1">
      <c r="E463" s="112"/>
    </row>
    <row r="464" ht="15.75" customHeight="1">
      <c r="E464" s="112"/>
    </row>
    <row r="465" ht="15.75" customHeight="1">
      <c r="E465" s="112"/>
    </row>
    <row r="466" ht="15.75" customHeight="1">
      <c r="E466" s="112"/>
    </row>
    <row r="467" ht="15.75" customHeight="1">
      <c r="E467" s="112"/>
    </row>
    <row r="468" ht="15.75" customHeight="1">
      <c r="E468" s="112"/>
    </row>
    <row r="469" ht="15.75" customHeight="1">
      <c r="E469" s="112"/>
    </row>
    <row r="470" ht="15.75" customHeight="1">
      <c r="E470" s="112"/>
    </row>
    <row r="471" ht="15.75" customHeight="1">
      <c r="E471" s="112"/>
    </row>
    <row r="472" ht="15.75" customHeight="1">
      <c r="E472" s="112"/>
    </row>
    <row r="473" ht="15.75" customHeight="1">
      <c r="E473" s="112"/>
    </row>
    <row r="474" ht="15.75" customHeight="1">
      <c r="E474" s="112"/>
    </row>
    <row r="475" ht="15.75" customHeight="1">
      <c r="E475" s="112"/>
    </row>
    <row r="476" ht="15.75" customHeight="1">
      <c r="E476" s="112"/>
    </row>
    <row r="477" ht="15.75" customHeight="1">
      <c r="E477" s="112"/>
    </row>
    <row r="478" ht="15.75" customHeight="1">
      <c r="E478" s="112"/>
    </row>
    <row r="479" ht="15.75" customHeight="1">
      <c r="E479" s="112"/>
    </row>
    <row r="480" ht="15.75" customHeight="1">
      <c r="E480" s="112"/>
    </row>
    <row r="481" ht="15.75" customHeight="1">
      <c r="E481" s="112"/>
    </row>
    <row r="482" ht="15.75" customHeight="1">
      <c r="E482" s="112"/>
    </row>
    <row r="483" ht="15.75" customHeight="1">
      <c r="E483" s="112"/>
    </row>
    <row r="484" ht="15.75" customHeight="1">
      <c r="E484" s="112"/>
    </row>
    <row r="485" ht="15.75" customHeight="1">
      <c r="E485" s="112"/>
    </row>
    <row r="486" ht="15.75" customHeight="1">
      <c r="E486" s="112"/>
    </row>
    <row r="487" ht="15.75" customHeight="1">
      <c r="E487" s="112"/>
    </row>
    <row r="488" ht="15.75" customHeight="1">
      <c r="E488" s="112"/>
    </row>
    <row r="489" ht="15.75" customHeight="1">
      <c r="E489" s="112"/>
    </row>
    <row r="490" ht="15.75" customHeight="1">
      <c r="E490" s="112"/>
    </row>
    <row r="491" ht="15.75" customHeight="1">
      <c r="E491" s="112"/>
    </row>
    <row r="492" ht="15.75" customHeight="1">
      <c r="E492" s="112"/>
    </row>
    <row r="493" ht="15.75" customHeight="1">
      <c r="E493" s="112"/>
    </row>
    <row r="494" ht="15.75" customHeight="1">
      <c r="E494" s="112"/>
    </row>
    <row r="495" ht="15.75" customHeight="1">
      <c r="E495" s="112"/>
    </row>
    <row r="496" ht="15.75" customHeight="1">
      <c r="E496" s="112"/>
    </row>
    <row r="497" ht="15.75" customHeight="1">
      <c r="E497" s="112"/>
    </row>
    <row r="498" ht="15.75" customHeight="1">
      <c r="E498" s="112"/>
    </row>
    <row r="499" ht="15.75" customHeight="1">
      <c r="E499" s="112"/>
    </row>
    <row r="500" ht="15.75" customHeight="1">
      <c r="E500" s="112"/>
    </row>
    <row r="501" ht="15.75" customHeight="1">
      <c r="E501" s="112"/>
    </row>
    <row r="502" ht="15.75" customHeight="1">
      <c r="E502" s="112"/>
    </row>
    <row r="503" ht="15.75" customHeight="1">
      <c r="E503" s="112"/>
    </row>
    <row r="504" ht="15.75" customHeight="1">
      <c r="E504" s="112"/>
    </row>
    <row r="505" ht="15.75" customHeight="1">
      <c r="E505" s="112"/>
    </row>
    <row r="506" ht="15.75" customHeight="1">
      <c r="E506" s="112"/>
    </row>
    <row r="507" ht="15.75" customHeight="1">
      <c r="E507" s="112"/>
    </row>
    <row r="508" ht="15.75" customHeight="1">
      <c r="E508" s="112"/>
    </row>
    <row r="509" ht="15.75" customHeight="1">
      <c r="E509" s="112"/>
    </row>
    <row r="510" ht="15.75" customHeight="1">
      <c r="E510" s="112"/>
    </row>
    <row r="511" ht="15.75" customHeight="1">
      <c r="E511" s="112"/>
    </row>
    <row r="512" ht="15.75" customHeight="1">
      <c r="E512" s="112"/>
    </row>
    <row r="513" ht="15.75" customHeight="1">
      <c r="E513" s="112"/>
    </row>
    <row r="514" ht="15.75" customHeight="1">
      <c r="E514" s="112"/>
    </row>
    <row r="515" ht="15.75" customHeight="1">
      <c r="E515" s="112"/>
    </row>
    <row r="516" ht="15.75" customHeight="1">
      <c r="E516" s="112"/>
    </row>
    <row r="517" ht="15.75" customHeight="1">
      <c r="E517" s="112"/>
    </row>
    <row r="518" ht="15.75" customHeight="1">
      <c r="E518" s="112"/>
    </row>
    <row r="519" ht="15.75" customHeight="1">
      <c r="E519" s="112"/>
    </row>
    <row r="520" ht="15.75" customHeight="1">
      <c r="E520" s="112"/>
    </row>
    <row r="521" ht="15.75" customHeight="1">
      <c r="E521" s="112"/>
    </row>
    <row r="522" ht="15.75" customHeight="1">
      <c r="E522" s="112"/>
    </row>
    <row r="523" ht="15.75" customHeight="1">
      <c r="E523" s="112"/>
    </row>
    <row r="524" ht="15.75" customHeight="1">
      <c r="E524" s="112"/>
    </row>
    <row r="525" ht="15.75" customHeight="1">
      <c r="E525" s="112"/>
    </row>
    <row r="526" ht="15.75" customHeight="1">
      <c r="E526" s="112"/>
    </row>
    <row r="527" ht="15.75" customHeight="1">
      <c r="E527" s="112"/>
    </row>
    <row r="528" ht="15.75" customHeight="1">
      <c r="E528" s="112"/>
    </row>
    <row r="529" ht="15.75" customHeight="1">
      <c r="E529" s="112"/>
    </row>
    <row r="530" ht="15.75" customHeight="1">
      <c r="E530" s="112"/>
    </row>
    <row r="531" ht="15.75" customHeight="1">
      <c r="E531" s="112"/>
    </row>
    <row r="532" ht="15.75" customHeight="1">
      <c r="E532" s="112"/>
    </row>
    <row r="533" ht="15.75" customHeight="1">
      <c r="E533" s="112"/>
    </row>
    <row r="534" ht="15.75" customHeight="1">
      <c r="E534" s="112"/>
    </row>
    <row r="535" ht="15.75" customHeight="1">
      <c r="E535" s="112"/>
    </row>
    <row r="536" ht="15.75" customHeight="1">
      <c r="E536" s="112"/>
    </row>
    <row r="537" ht="15.75" customHeight="1">
      <c r="E537" s="112"/>
    </row>
    <row r="538" ht="15.75" customHeight="1">
      <c r="E538" s="112"/>
    </row>
    <row r="539" ht="15.75" customHeight="1">
      <c r="E539" s="112"/>
    </row>
    <row r="540" ht="15.75" customHeight="1">
      <c r="E540" s="112"/>
    </row>
    <row r="541" ht="15.75" customHeight="1">
      <c r="E541" s="112"/>
    </row>
    <row r="542" ht="15.75" customHeight="1">
      <c r="E542" s="112"/>
    </row>
    <row r="543" ht="15.75" customHeight="1">
      <c r="E543" s="112"/>
    </row>
    <row r="544" ht="15.75" customHeight="1">
      <c r="E544" s="112"/>
    </row>
    <row r="545" ht="15.75" customHeight="1">
      <c r="E545" s="112"/>
    </row>
    <row r="546" ht="15.75" customHeight="1">
      <c r="E546" s="112"/>
    </row>
    <row r="547" ht="15.75" customHeight="1">
      <c r="E547" s="112"/>
    </row>
    <row r="548" ht="15.75" customHeight="1">
      <c r="E548" s="112"/>
    </row>
    <row r="549" ht="15.75" customHeight="1">
      <c r="E549" s="112"/>
    </row>
    <row r="550" ht="15.75" customHeight="1">
      <c r="E550" s="112"/>
    </row>
    <row r="551" ht="15.75" customHeight="1">
      <c r="E551" s="112"/>
    </row>
    <row r="552" ht="15.75" customHeight="1">
      <c r="E552" s="112"/>
    </row>
    <row r="553" ht="15.75" customHeight="1">
      <c r="E553" s="112"/>
    </row>
    <row r="554" ht="15.75" customHeight="1">
      <c r="E554" s="112"/>
    </row>
    <row r="555" ht="15.75" customHeight="1">
      <c r="E555" s="112"/>
    </row>
    <row r="556" ht="15.75" customHeight="1">
      <c r="E556" s="112"/>
    </row>
    <row r="557" ht="15.75" customHeight="1">
      <c r="E557" s="112"/>
    </row>
    <row r="558" ht="15.75" customHeight="1">
      <c r="E558" s="112"/>
    </row>
    <row r="559" ht="15.75" customHeight="1">
      <c r="E559" s="112"/>
    </row>
    <row r="560" ht="15.75" customHeight="1">
      <c r="E560" s="112"/>
    </row>
    <row r="561" ht="15.75" customHeight="1">
      <c r="E561" s="112"/>
    </row>
    <row r="562" ht="15.75" customHeight="1">
      <c r="E562" s="112"/>
    </row>
    <row r="563" ht="15.75" customHeight="1">
      <c r="E563" s="112"/>
    </row>
    <row r="564" ht="15.75" customHeight="1">
      <c r="E564" s="112"/>
    </row>
    <row r="565" ht="15.75" customHeight="1">
      <c r="E565" s="112"/>
    </row>
    <row r="566" ht="15.75" customHeight="1">
      <c r="E566" s="112"/>
    </row>
    <row r="567" ht="15.75" customHeight="1">
      <c r="E567" s="112"/>
    </row>
    <row r="568" ht="15.75" customHeight="1">
      <c r="E568" s="112"/>
    </row>
    <row r="569" ht="15.75" customHeight="1">
      <c r="E569" s="112"/>
    </row>
    <row r="570" ht="15.75" customHeight="1">
      <c r="E570" s="112"/>
    </row>
    <row r="571" ht="15.75" customHeight="1">
      <c r="E571" s="112"/>
    </row>
    <row r="572" ht="15.75" customHeight="1">
      <c r="E572" s="112"/>
    </row>
    <row r="573" ht="15.75" customHeight="1">
      <c r="E573" s="112"/>
    </row>
    <row r="574" ht="15.75" customHeight="1">
      <c r="E574" s="112"/>
    </row>
    <row r="575" ht="15.75" customHeight="1">
      <c r="E575" s="112"/>
    </row>
    <row r="576" ht="15.75" customHeight="1">
      <c r="E576" s="112"/>
    </row>
    <row r="577" ht="15.75" customHeight="1">
      <c r="E577" s="112"/>
    </row>
    <row r="578" ht="15.75" customHeight="1">
      <c r="E578" s="112"/>
    </row>
    <row r="579" ht="15.75" customHeight="1">
      <c r="E579" s="112"/>
    </row>
    <row r="580" ht="15.75" customHeight="1">
      <c r="E580" s="112"/>
    </row>
    <row r="581" ht="15.75" customHeight="1">
      <c r="E581" s="112"/>
    </row>
    <row r="582" ht="15.75" customHeight="1">
      <c r="E582" s="112"/>
    </row>
    <row r="583" ht="15.75" customHeight="1">
      <c r="E583" s="112"/>
    </row>
    <row r="584" ht="15.75" customHeight="1">
      <c r="E584" s="112"/>
    </row>
    <row r="585" ht="15.75" customHeight="1">
      <c r="E585" s="112"/>
    </row>
    <row r="586" ht="15.75" customHeight="1">
      <c r="E586" s="112"/>
    </row>
    <row r="587" ht="15.75" customHeight="1">
      <c r="E587" s="112"/>
    </row>
    <row r="588" ht="15.75" customHeight="1">
      <c r="E588" s="112"/>
    </row>
    <row r="589" ht="15.75" customHeight="1">
      <c r="E589" s="112"/>
    </row>
    <row r="590" ht="15.75" customHeight="1">
      <c r="E590" s="112"/>
    </row>
    <row r="591" ht="15.75" customHeight="1">
      <c r="E591" s="112"/>
    </row>
    <row r="592" ht="15.75" customHeight="1">
      <c r="E592" s="112"/>
    </row>
    <row r="593" ht="15.75" customHeight="1">
      <c r="E593" s="112"/>
    </row>
    <row r="594" ht="15.75" customHeight="1">
      <c r="E594" s="112"/>
    </row>
    <row r="595" ht="15.75" customHeight="1">
      <c r="E595" s="112"/>
    </row>
    <row r="596" ht="15.75" customHeight="1">
      <c r="E596" s="112"/>
    </row>
    <row r="597" ht="15.75" customHeight="1">
      <c r="E597" s="112"/>
    </row>
    <row r="598" ht="15.75" customHeight="1">
      <c r="E598" s="112"/>
    </row>
    <row r="599" ht="15.75" customHeight="1">
      <c r="E599" s="112"/>
    </row>
    <row r="600" ht="15.75" customHeight="1">
      <c r="E600" s="112"/>
    </row>
    <row r="601" ht="15.75" customHeight="1">
      <c r="E601" s="112"/>
    </row>
    <row r="602" ht="15.75" customHeight="1">
      <c r="E602" s="112"/>
    </row>
    <row r="603" ht="15.75" customHeight="1">
      <c r="E603" s="112"/>
    </row>
    <row r="604" ht="15.75" customHeight="1">
      <c r="E604" s="112"/>
    </row>
    <row r="605" ht="15.75" customHeight="1">
      <c r="E605" s="112"/>
    </row>
    <row r="606" ht="15.75" customHeight="1">
      <c r="E606" s="112"/>
    </row>
    <row r="607" ht="15.75" customHeight="1">
      <c r="E607" s="112"/>
    </row>
    <row r="608" ht="15.75" customHeight="1">
      <c r="E608" s="112"/>
    </row>
    <row r="609" ht="15.75" customHeight="1">
      <c r="E609" s="112"/>
    </row>
    <row r="610" ht="15.75" customHeight="1">
      <c r="E610" s="112"/>
    </row>
    <row r="611" ht="15.75" customHeight="1">
      <c r="E611" s="112"/>
    </row>
    <row r="612" ht="15.75" customHeight="1">
      <c r="E612" s="112"/>
    </row>
    <row r="613" ht="15.75" customHeight="1">
      <c r="E613" s="112"/>
    </row>
    <row r="614" ht="15.75" customHeight="1">
      <c r="E614" s="112"/>
    </row>
    <row r="615" ht="15.75" customHeight="1">
      <c r="E615" s="112"/>
    </row>
    <row r="616" ht="15.75" customHeight="1">
      <c r="E616" s="112"/>
    </row>
    <row r="617" ht="15.75" customHeight="1">
      <c r="E617" s="112"/>
    </row>
    <row r="618" ht="15.75" customHeight="1">
      <c r="E618" s="112"/>
    </row>
    <row r="619" ht="15.75" customHeight="1">
      <c r="E619" s="112"/>
    </row>
    <row r="620" ht="15.75" customHeight="1">
      <c r="E620" s="112"/>
    </row>
    <row r="621" ht="15.75" customHeight="1">
      <c r="E621" s="112"/>
    </row>
    <row r="622" ht="15.75" customHeight="1">
      <c r="E622" s="112"/>
    </row>
    <row r="623" ht="15.75" customHeight="1">
      <c r="E623" s="112"/>
    </row>
    <row r="624" ht="15.75" customHeight="1">
      <c r="E624" s="112"/>
    </row>
    <row r="625" ht="15.75" customHeight="1">
      <c r="E625" s="112"/>
    </row>
    <row r="626" ht="15.75" customHeight="1">
      <c r="E626" s="112"/>
    </row>
    <row r="627" ht="15.75" customHeight="1">
      <c r="E627" s="112"/>
    </row>
    <row r="628" ht="15.75" customHeight="1">
      <c r="E628" s="112"/>
    </row>
    <row r="629" ht="15.75" customHeight="1">
      <c r="E629" s="112"/>
    </row>
    <row r="630" ht="15.75" customHeight="1">
      <c r="E630" s="112"/>
    </row>
    <row r="631" ht="15.75" customHeight="1">
      <c r="E631" s="112"/>
    </row>
    <row r="632" ht="15.75" customHeight="1">
      <c r="E632" s="112"/>
    </row>
    <row r="633" ht="15.75" customHeight="1">
      <c r="E633" s="112"/>
    </row>
    <row r="634" ht="15.75" customHeight="1">
      <c r="E634" s="112"/>
    </row>
    <row r="635" ht="15.75" customHeight="1">
      <c r="E635" s="112"/>
    </row>
    <row r="636" ht="15.75" customHeight="1">
      <c r="E636" s="112"/>
    </row>
    <row r="637" ht="15.75" customHeight="1">
      <c r="E637" s="112"/>
    </row>
    <row r="638" ht="15.75" customHeight="1">
      <c r="E638" s="112"/>
    </row>
    <row r="639" ht="15.75" customHeight="1">
      <c r="E639" s="112"/>
    </row>
    <row r="640" ht="15.75" customHeight="1">
      <c r="E640" s="112"/>
    </row>
    <row r="641" ht="15.75" customHeight="1">
      <c r="E641" s="112"/>
    </row>
    <row r="642" ht="15.75" customHeight="1">
      <c r="E642" s="112"/>
    </row>
    <row r="643" ht="15.75" customHeight="1">
      <c r="E643" s="112"/>
    </row>
    <row r="644" ht="15.75" customHeight="1">
      <c r="E644" s="112"/>
    </row>
    <row r="645" ht="15.75" customHeight="1">
      <c r="E645" s="112"/>
    </row>
    <row r="646" ht="15.75" customHeight="1">
      <c r="E646" s="112"/>
    </row>
    <row r="647" ht="15.75" customHeight="1">
      <c r="E647" s="112"/>
    </row>
    <row r="648" ht="15.75" customHeight="1">
      <c r="E648" s="112"/>
    </row>
    <row r="649" ht="15.75" customHeight="1">
      <c r="E649" s="112"/>
    </row>
    <row r="650" ht="15.75" customHeight="1">
      <c r="E650" s="112"/>
    </row>
    <row r="651" ht="15.75" customHeight="1">
      <c r="E651" s="112"/>
    </row>
    <row r="652" ht="15.75" customHeight="1">
      <c r="E652" s="112"/>
    </row>
    <row r="653" ht="15.75" customHeight="1">
      <c r="E653" s="112"/>
    </row>
    <row r="654" ht="15.75" customHeight="1">
      <c r="E654" s="112"/>
    </row>
    <row r="655" ht="15.75" customHeight="1">
      <c r="E655" s="112"/>
    </row>
    <row r="656" ht="15.75" customHeight="1">
      <c r="E656" s="112"/>
    </row>
    <row r="657" ht="15.75" customHeight="1">
      <c r="E657" s="112"/>
    </row>
    <row r="658" ht="15.75" customHeight="1">
      <c r="E658" s="112"/>
    </row>
    <row r="659" ht="15.75" customHeight="1">
      <c r="E659" s="112"/>
    </row>
    <row r="660" ht="15.75" customHeight="1">
      <c r="E660" s="112"/>
    </row>
    <row r="661" ht="15.75" customHeight="1">
      <c r="E661" s="112"/>
    </row>
    <row r="662" ht="15.75" customHeight="1">
      <c r="E662" s="112"/>
    </row>
    <row r="663" ht="15.75" customHeight="1">
      <c r="E663" s="112"/>
    </row>
    <row r="664" ht="15.75" customHeight="1">
      <c r="E664" s="112"/>
    </row>
    <row r="665" ht="15.75" customHeight="1">
      <c r="E665" s="112"/>
    </row>
    <row r="666" ht="15.75" customHeight="1">
      <c r="E666" s="112"/>
    </row>
    <row r="667" ht="15.75" customHeight="1">
      <c r="E667" s="112"/>
    </row>
    <row r="668" ht="15.75" customHeight="1">
      <c r="E668" s="112"/>
    </row>
    <row r="669" ht="15.75" customHeight="1">
      <c r="E669" s="112"/>
    </row>
    <row r="670" ht="15.75" customHeight="1">
      <c r="E670" s="112"/>
    </row>
    <row r="671" ht="15.75" customHeight="1">
      <c r="E671" s="112"/>
    </row>
    <row r="672" ht="15.75" customHeight="1">
      <c r="E672" s="112"/>
    </row>
    <row r="673" ht="15.75" customHeight="1">
      <c r="E673" s="112"/>
    </row>
    <row r="674" ht="15.75" customHeight="1">
      <c r="E674" s="112"/>
    </row>
    <row r="675" ht="15.75" customHeight="1">
      <c r="E675" s="112"/>
    </row>
    <row r="676" ht="15.75" customHeight="1">
      <c r="E676" s="112"/>
    </row>
    <row r="677" ht="15.75" customHeight="1">
      <c r="E677" s="112"/>
    </row>
    <row r="678" ht="15.75" customHeight="1">
      <c r="E678" s="112"/>
    </row>
    <row r="679" ht="15.75" customHeight="1">
      <c r="E679" s="112"/>
    </row>
    <row r="680" ht="15.75" customHeight="1">
      <c r="E680" s="112"/>
    </row>
    <row r="681" ht="15.75" customHeight="1">
      <c r="E681" s="112"/>
    </row>
    <row r="682" ht="15.75" customHeight="1">
      <c r="E682" s="112"/>
    </row>
    <row r="683" ht="15.75" customHeight="1">
      <c r="E683" s="112"/>
    </row>
    <row r="684" ht="15.75" customHeight="1">
      <c r="E684" s="112"/>
    </row>
    <row r="685" ht="15.75" customHeight="1">
      <c r="E685" s="112"/>
    </row>
    <row r="686" ht="15.75" customHeight="1">
      <c r="E686" s="112"/>
    </row>
    <row r="687" ht="15.75" customHeight="1">
      <c r="E687" s="112"/>
    </row>
    <row r="688" ht="15.75" customHeight="1">
      <c r="E688" s="112"/>
    </row>
    <row r="689" ht="15.75" customHeight="1">
      <c r="E689" s="112"/>
    </row>
    <row r="690" ht="15.75" customHeight="1">
      <c r="E690" s="112"/>
    </row>
    <row r="691" ht="15.75" customHeight="1">
      <c r="E691" s="112"/>
    </row>
    <row r="692" ht="15.75" customHeight="1">
      <c r="E692" s="112"/>
    </row>
    <row r="693" ht="15.75" customHeight="1">
      <c r="E693" s="112"/>
    </row>
    <row r="694" ht="15.75" customHeight="1">
      <c r="E694" s="112"/>
    </row>
    <row r="695" ht="15.75" customHeight="1">
      <c r="E695" s="112"/>
    </row>
    <row r="696" ht="15.75" customHeight="1">
      <c r="E696" s="112"/>
    </row>
    <row r="697" ht="15.75" customHeight="1">
      <c r="E697" s="112"/>
    </row>
    <row r="698" ht="15.75" customHeight="1">
      <c r="E698" s="112"/>
    </row>
    <row r="699" ht="15.75" customHeight="1">
      <c r="E699" s="112"/>
    </row>
    <row r="700" ht="15.75" customHeight="1">
      <c r="E700" s="112"/>
    </row>
    <row r="701" ht="15.75" customHeight="1">
      <c r="E701" s="112"/>
    </row>
    <row r="702" ht="15.75" customHeight="1">
      <c r="E702" s="112"/>
    </row>
    <row r="703" ht="15.75" customHeight="1">
      <c r="E703" s="112"/>
    </row>
    <row r="704" ht="15.75" customHeight="1">
      <c r="E704" s="112"/>
    </row>
    <row r="705" ht="15.75" customHeight="1">
      <c r="E705" s="112"/>
    </row>
    <row r="706" ht="15.75" customHeight="1">
      <c r="E706" s="112"/>
    </row>
    <row r="707" ht="15.75" customHeight="1">
      <c r="E707" s="112"/>
    </row>
    <row r="708" ht="15.75" customHeight="1">
      <c r="E708" s="112"/>
    </row>
    <row r="709" ht="15.75" customHeight="1">
      <c r="E709" s="112"/>
    </row>
    <row r="710" ht="15.75" customHeight="1">
      <c r="E710" s="112"/>
    </row>
    <row r="711" ht="15.75" customHeight="1">
      <c r="E711" s="112"/>
    </row>
    <row r="712" ht="15.75" customHeight="1">
      <c r="E712" s="112"/>
    </row>
    <row r="713" ht="15.75" customHeight="1">
      <c r="E713" s="112"/>
    </row>
    <row r="714" ht="15.75" customHeight="1">
      <c r="E714" s="112"/>
    </row>
    <row r="715" ht="15.75" customHeight="1">
      <c r="E715" s="112"/>
    </row>
    <row r="716" ht="15.75" customHeight="1">
      <c r="E716" s="112"/>
    </row>
    <row r="717" ht="15.75" customHeight="1">
      <c r="E717" s="112"/>
    </row>
    <row r="718" ht="15.75" customHeight="1">
      <c r="E718" s="112"/>
    </row>
    <row r="719" ht="15.75" customHeight="1">
      <c r="E719" s="112"/>
    </row>
    <row r="720" ht="15.75" customHeight="1">
      <c r="E720" s="112"/>
    </row>
    <row r="721" ht="15.75" customHeight="1">
      <c r="E721" s="112"/>
    </row>
    <row r="722" ht="15.75" customHeight="1">
      <c r="E722" s="112"/>
    </row>
    <row r="723" ht="15.75" customHeight="1">
      <c r="E723" s="112"/>
    </row>
    <row r="724" ht="15.75" customHeight="1">
      <c r="E724" s="112"/>
    </row>
    <row r="725" ht="15.75" customHeight="1">
      <c r="E725" s="112"/>
    </row>
    <row r="726" ht="15.75" customHeight="1">
      <c r="E726" s="112"/>
    </row>
    <row r="727" ht="15.75" customHeight="1">
      <c r="E727" s="112"/>
    </row>
    <row r="728" ht="15.75" customHeight="1">
      <c r="E728" s="112"/>
    </row>
    <row r="729" ht="15.75" customHeight="1">
      <c r="E729" s="112"/>
    </row>
    <row r="730" ht="15.75" customHeight="1">
      <c r="E730" s="112"/>
    </row>
    <row r="731" ht="15.75" customHeight="1">
      <c r="E731" s="112"/>
    </row>
    <row r="732" ht="15.75" customHeight="1">
      <c r="E732" s="112"/>
    </row>
    <row r="733" ht="15.75" customHeight="1">
      <c r="E733" s="112"/>
    </row>
    <row r="734" ht="15.75" customHeight="1">
      <c r="E734" s="112"/>
    </row>
    <row r="735" ht="15.75" customHeight="1">
      <c r="E735" s="112"/>
    </row>
    <row r="736" ht="15.75" customHeight="1">
      <c r="E736" s="112"/>
    </row>
    <row r="737" ht="15.75" customHeight="1">
      <c r="E737" s="112"/>
    </row>
    <row r="738" ht="15.75" customHeight="1">
      <c r="E738" s="112"/>
    </row>
    <row r="739" ht="15.75" customHeight="1">
      <c r="E739" s="112"/>
    </row>
    <row r="740" ht="15.75" customHeight="1">
      <c r="E740" s="112"/>
    </row>
    <row r="741" ht="15.75" customHeight="1">
      <c r="E741" s="112"/>
    </row>
    <row r="742" ht="15.75" customHeight="1">
      <c r="E742" s="112"/>
    </row>
    <row r="743" ht="15.75" customHeight="1">
      <c r="E743" s="112"/>
    </row>
    <row r="744" ht="15.75" customHeight="1">
      <c r="E744" s="112"/>
    </row>
    <row r="745" ht="15.75" customHeight="1">
      <c r="E745" s="112"/>
    </row>
    <row r="746" ht="15.75" customHeight="1">
      <c r="E746" s="112"/>
    </row>
    <row r="747" ht="15.75" customHeight="1">
      <c r="E747" s="112"/>
    </row>
    <row r="748" ht="15.75" customHeight="1">
      <c r="E748" s="112"/>
    </row>
    <row r="749" ht="15.75" customHeight="1">
      <c r="E749" s="112"/>
    </row>
    <row r="750" ht="15.75" customHeight="1">
      <c r="E750" s="112"/>
    </row>
    <row r="751" ht="15.75" customHeight="1">
      <c r="E751" s="112"/>
    </row>
    <row r="752" ht="15.75" customHeight="1">
      <c r="E752" s="112"/>
    </row>
    <row r="753" ht="15.75" customHeight="1">
      <c r="E753" s="112"/>
    </row>
    <row r="754" ht="15.75" customHeight="1">
      <c r="E754" s="112"/>
    </row>
    <row r="755" ht="15.75" customHeight="1">
      <c r="E755" s="112"/>
    </row>
    <row r="756" ht="15.75" customHeight="1">
      <c r="E756" s="112"/>
    </row>
    <row r="757" ht="15.75" customHeight="1">
      <c r="E757" s="112"/>
    </row>
    <row r="758" ht="15.75" customHeight="1">
      <c r="E758" s="112"/>
    </row>
    <row r="759" ht="15.75" customHeight="1">
      <c r="E759" s="112"/>
    </row>
    <row r="760" ht="15.75" customHeight="1">
      <c r="E760" s="112"/>
    </row>
    <row r="761" ht="15.75" customHeight="1">
      <c r="E761" s="112"/>
    </row>
    <row r="762" ht="15.75" customHeight="1">
      <c r="E762" s="112"/>
    </row>
    <row r="763" ht="15.75" customHeight="1">
      <c r="E763" s="112"/>
    </row>
    <row r="764" ht="15.75" customHeight="1">
      <c r="E764" s="112"/>
    </row>
    <row r="765" ht="15.75" customHeight="1">
      <c r="E765" s="112"/>
    </row>
    <row r="766" ht="15.75" customHeight="1">
      <c r="E766" s="112"/>
    </row>
    <row r="767" ht="15.75" customHeight="1">
      <c r="E767" s="112"/>
    </row>
    <row r="768" ht="15.75" customHeight="1">
      <c r="E768" s="112"/>
    </row>
    <row r="769" ht="15.75" customHeight="1">
      <c r="E769" s="112"/>
    </row>
    <row r="770" ht="15.75" customHeight="1">
      <c r="E770" s="112"/>
    </row>
    <row r="771" ht="15.75" customHeight="1">
      <c r="E771" s="112"/>
    </row>
    <row r="772" ht="15.75" customHeight="1">
      <c r="E772" s="112"/>
    </row>
    <row r="773" ht="15.75" customHeight="1">
      <c r="E773" s="112"/>
    </row>
    <row r="774" ht="15.75" customHeight="1">
      <c r="E774" s="112"/>
    </row>
    <row r="775" ht="15.75" customHeight="1">
      <c r="E775" s="112"/>
    </row>
    <row r="776" ht="15.75" customHeight="1">
      <c r="E776" s="112"/>
    </row>
    <row r="777" ht="15.75" customHeight="1">
      <c r="E777" s="112"/>
    </row>
    <row r="778" ht="15.75" customHeight="1">
      <c r="E778" s="112"/>
    </row>
    <row r="779" ht="15.75" customHeight="1">
      <c r="E779" s="112"/>
    </row>
    <row r="780" ht="15.75" customHeight="1">
      <c r="E780" s="112"/>
    </row>
    <row r="781" ht="15.75" customHeight="1">
      <c r="E781" s="112"/>
    </row>
    <row r="782" ht="15.75" customHeight="1">
      <c r="E782" s="112"/>
    </row>
    <row r="783" ht="15.75" customHeight="1">
      <c r="E783" s="112"/>
    </row>
    <row r="784" ht="15.75" customHeight="1">
      <c r="E784" s="112"/>
    </row>
    <row r="785" ht="15.75" customHeight="1">
      <c r="E785" s="112"/>
    </row>
    <row r="786" ht="15.75" customHeight="1">
      <c r="E786" s="112"/>
    </row>
    <row r="787" ht="15.75" customHeight="1">
      <c r="E787" s="112"/>
    </row>
    <row r="788" ht="15.75" customHeight="1">
      <c r="E788" s="112"/>
    </row>
    <row r="789" ht="15.75" customHeight="1">
      <c r="E789" s="112"/>
    </row>
    <row r="790" ht="15.75" customHeight="1">
      <c r="E790" s="112"/>
    </row>
    <row r="791" ht="15.75" customHeight="1">
      <c r="E791" s="112"/>
    </row>
    <row r="792" ht="15.75" customHeight="1">
      <c r="E792" s="112"/>
    </row>
    <row r="793" ht="15.75" customHeight="1">
      <c r="E793" s="112"/>
    </row>
    <row r="794" ht="15.75" customHeight="1">
      <c r="E794" s="112"/>
    </row>
    <row r="795" ht="15.75" customHeight="1">
      <c r="E795" s="112"/>
    </row>
    <row r="796" ht="15.75" customHeight="1">
      <c r="E796" s="112"/>
    </row>
    <row r="797" ht="15.75" customHeight="1">
      <c r="E797" s="112"/>
    </row>
    <row r="798" ht="15.75" customHeight="1">
      <c r="E798" s="112"/>
    </row>
    <row r="799" ht="15.75" customHeight="1">
      <c r="E799" s="112"/>
    </row>
    <row r="800" ht="15.75" customHeight="1">
      <c r="E800" s="112"/>
    </row>
    <row r="801" ht="15.75" customHeight="1">
      <c r="E801" s="112"/>
    </row>
    <row r="802" ht="15.75" customHeight="1">
      <c r="E802" s="112"/>
    </row>
    <row r="803" ht="15.75" customHeight="1">
      <c r="E803" s="112"/>
    </row>
    <row r="804" ht="15.75" customHeight="1">
      <c r="E804" s="112"/>
    </row>
    <row r="805" ht="15.75" customHeight="1">
      <c r="E805" s="112"/>
    </row>
    <row r="806" ht="15.75" customHeight="1">
      <c r="E806" s="112"/>
    </row>
    <row r="807" ht="15.75" customHeight="1">
      <c r="E807" s="112"/>
    </row>
    <row r="808" ht="15.75" customHeight="1">
      <c r="E808" s="112"/>
    </row>
    <row r="809" ht="15.75" customHeight="1">
      <c r="E809" s="112"/>
    </row>
    <row r="810" ht="15.75" customHeight="1">
      <c r="E810" s="112"/>
    </row>
    <row r="811" ht="15.75" customHeight="1">
      <c r="E811" s="112"/>
    </row>
    <row r="812" ht="15.75" customHeight="1">
      <c r="E812" s="112"/>
    </row>
    <row r="813" ht="15.75" customHeight="1">
      <c r="E813" s="112"/>
    </row>
    <row r="814" ht="15.75" customHeight="1">
      <c r="E814" s="112"/>
    </row>
    <row r="815" ht="15.75" customHeight="1">
      <c r="E815" s="112"/>
    </row>
    <row r="816" ht="15.75" customHeight="1">
      <c r="E816" s="112"/>
    </row>
    <row r="817" ht="15.75" customHeight="1">
      <c r="E817" s="112"/>
    </row>
    <row r="818" ht="15.75" customHeight="1">
      <c r="E818" s="112"/>
    </row>
    <row r="819" ht="15.75" customHeight="1">
      <c r="E819" s="112"/>
    </row>
    <row r="820" ht="15.75" customHeight="1">
      <c r="E820" s="112"/>
    </row>
    <row r="821" ht="15.75" customHeight="1">
      <c r="E821" s="112"/>
    </row>
    <row r="822" ht="15.75" customHeight="1">
      <c r="E822" s="112"/>
    </row>
    <row r="823" ht="15.75" customHeight="1">
      <c r="E823" s="112"/>
    </row>
    <row r="824" ht="15.75" customHeight="1">
      <c r="E824" s="112"/>
    </row>
    <row r="825" ht="15.75" customHeight="1">
      <c r="E825" s="112"/>
    </row>
    <row r="826" ht="15.75" customHeight="1">
      <c r="E826" s="112"/>
    </row>
    <row r="827" ht="15.75" customHeight="1">
      <c r="E827" s="112"/>
    </row>
    <row r="828" ht="15.75" customHeight="1">
      <c r="E828" s="112"/>
    </row>
    <row r="829" ht="15.75" customHeight="1">
      <c r="E829" s="112"/>
    </row>
    <row r="830" ht="15.75" customHeight="1">
      <c r="E830" s="112"/>
    </row>
    <row r="831" ht="15.75" customHeight="1">
      <c r="E831" s="112"/>
    </row>
    <row r="832" ht="15.75" customHeight="1">
      <c r="E832" s="112"/>
    </row>
    <row r="833" ht="15.75" customHeight="1">
      <c r="E833" s="112"/>
    </row>
    <row r="834" ht="15.75" customHeight="1">
      <c r="E834" s="112"/>
    </row>
    <row r="835" ht="15.75" customHeight="1">
      <c r="E835" s="112"/>
    </row>
    <row r="836" ht="15.75" customHeight="1">
      <c r="E836" s="112"/>
    </row>
    <row r="837" ht="15.75" customHeight="1">
      <c r="E837" s="112"/>
    </row>
    <row r="838" ht="15.75" customHeight="1">
      <c r="E838" s="112"/>
    </row>
    <row r="839" ht="15.75" customHeight="1">
      <c r="E839" s="112"/>
    </row>
    <row r="840" ht="15.75" customHeight="1">
      <c r="E840" s="112"/>
    </row>
    <row r="841" ht="15.75" customHeight="1">
      <c r="E841" s="112"/>
    </row>
    <row r="842" ht="15.75" customHeight="1">
      <c r="E842" s="112"/>
    </row>
    <row r="843" ht="15.75" customHeight="1">
      <c r="E843" s="112"/>
    </row>
    <row r="844" ht="15.75" customHeight="1">
      <c r="E844" s="112"/>
    </row>
    <row r="845" ht="15.75" customHeight="1">
      <c r="E845" s="112"/>
    </row>
    <row r="846" ht="15.75" customHeight="1">
      <c r="E846" s="112"/>
    </row>
    <row r="847" ht="15.75" customHeight="1">
      <c r="E847" s="112"/>
    </row>
    <row r="848" ht="15.75" customHeight="1">
      <c r="E848" s="112"/>
    </row>
    <row r="849" ht="15.75" customHeight="1">
      <c r="E849" s="112"/>
    </row>
    <row r="850" ht="15.75" customHeight="1">
      <c r="E850" s="112"/>
    </row>
    <row r="851" ht="15.75" customHeight="1">
      <c r="E851" s="112"/>
    </row>
    <row r="852" ht="15.75" customHeight="1">
      <c r="E852" s="112"/>
    </row>
    <row r="853" ht="15.75" customHeight="1">
      <c r="E853" s="112"/>
    </row>
    <row r="854" ht="15.75" customHeight="1">
      <c r="E854" s="112"/>
    </row>
    <row r="855" ht="15.75" customHeight="1">
      <c r="E855" s="112"/>
    </row>
    <row r="856" ht="15.75" customHeight="1">
      <c r="E856" s="112"/>
    </row>
    <row r="857" ht="15.75" customHeight="1">
      <c r="E857" s="112"/>
    </row>
    <row r="858" ht="15.75" customHeight="1">
      <c r="E858" s="112"/>
    </row>
    <row r="859" ht="15.75" customHeight="1">
      <c r="E859" s="112"/>
    </row>
    <row r="860" ht="15.75" customHeight="1">
      <c r="E860" s="112"/>
    </row>
    <row r="861" ht="15.75" customHeight="1">
      <c r="E861" s="112"/>
    </row>
    <row r="862" ht="15.75" customHeight="1">
      <c r="E862" s="112"/>
    </row>
    <row r="863" ht="15.75" customHeight="1">
      <c r="E863" s="112"/>
    </row>
    <row r="864" ht="15.75" customHeight="1">
      <c r="E864" s="112"/>
    </row>
    <row r="865" ht="15.75" customHeight="1">
      <c r="E865" s="112"/>
    </row>
    <row r="866" ht="15.75" customHeight="1">
      <c r="E866" s="112"/>
    </row>
    <row r="867" ht="15.75" customHeight="1">
      <c r="E867" s="112"/>
    </row>
    <row r="868" ht="15.75" customHeight="1">
      <c r="E868" s="112"/>
    </row>
    <row r="869" ht="15.75" customHeight="1">
      <c r="E869" s="112"/>
    </row>
    <row r="870" ht="15.75" customHeight="1">
      <c r="E870" s="112"/>
    </row>
    <row r="871" ht="15.75" customHeight="1">
      <c r="E871" s="112"/>
    </row>
    <row r="872" ht="15.75" customHeight="1">
      <c r="E872" s="112"/>
    </row>
    <row r="873" ht="15.75" customHeight="1">
      <c r="E873" s="112"/>
    </row>
    <row r="874" ht="15.75" customHeight="1">
      <c r="E874" s="112"/>
    </row>
    <row r="875" ht="15.75" customHeight="1">
      <c r="E875" s="112"/>
    </row>
    <row r="876" ht="15.75" customHeight="1">
      <c r="E876" s="112"/>
    </row>
    <row r="877" ht="15.75" customHeight="1">
      <c r="E877" s="112"/>
    </row>
    <row r="878" ht="15.75" customHeight="1">
      <c r="E878" s="112"/>
    </row>
    <row r="879" ht="15.75" customHeight="1">
      <c r="E879" s="112"/>
    </row>
    <row r="880" ht="15.75" customHeight="1">
      <c r="E880" s="112"/>
    </row>
    <row r="881" ht="15.75" customHeight="1">
      <c r="E881" s="112"/>
    </row>
    <row r="882" ht="15.75" customHeight="1">
      <c r="E882" s="112"/>
    </row>
    <row r="883" ht="15.75" customHeight="1">
      <c r="E883" s="112"/>
    </row>
    <row r="884" ht="15.75" customHeight="1">
      <c r="E884" s="112"/>
    </row>
    <row r="885" ht="15.75" customHeight="1">
      <c r="E885" s="112"/>
    </row>
    <row r="886" ht="15.75" customHeight="1">
      <c r="E886" s="112"/>
    </row>
    <row r="887" ht="15.75" customHeight="1">
      <c r="E887" s="112"/>
    </row>
    <row r="888" ht="15.75" customHeight="1">
      <c r="E888" s="112"/>
    </row>
    <row r="889" ht="15.75" customHeight="1">
      <c r="E889" s="112"/>
    </row>
    <row r="890" ht="15.75" customHeight="1">
      <c r="E890" s="112"/>
    </row>
    <row r="891" ht="15.75" customHeight="1">
      <c r="E891" s="112"/>
    </row>
    <row r="892" ht="15.75" customHeight="1">
      <c r="E892" s="112"/>
    </row>
    <row r="893" ht="15.75" customHeight="1">
      <c r="E893" s="112"/>
    </row>
    <row r="894" ht="15.75" customHeight="1">
      <c r="E894" s="112"/>
    </row>
    <row r="895" ht="15.75" customHeight="1">
      <c r="E895" s="112"/>
    </row>
    <row r="896" ht="15.75" customHeight="1">
      <c r="E896" s="112"/>
    </row>
    <row r="897" ht="15.75" customHeight="1">
      <c r="E897" s="112"/>
    </row>
    <row r="898" ht="15.75" customHeight="1">
      <c r="E898" s="112"/>
    </row>
    <row r="899" ht="15.75" customHeight="1">
      <c r="E899" s="112"/>
    </row>
    <row r="900" ht="15.75" customHeight="1">
      <c r="E900" s="112"/>
    </row>
    <row r="901" ht="15.75" customHeight="1">
      <c r="E901" s="112"/>
    </row>
    <row r="902" ht="15.75" customHeight="1">
      <c r="E902" s="112"/>
    </row>
    <row r="903" ht="15.75" customHeight="1">
      <c r="E903" s="112"/>
    </row>
    <row r="904" ht="15.75" customHeight="1">
      <c r="E904" s="112"/>
    </row>
    <row r="905" ht="15.75" customHeight="1">
      <c r="E905" s="112"/>
    </row>
    <row r="906" ht="15.75" customHeight="1">
      <c r="E906" s="112"/>
    </row>
    <row r="907" ht="15.75" customHeight="1">
      <c r="E907" s="112"/>
    </row>
    <row r="908" ht="15.75" customHeight="1">
      <c r="E908" s="112"/>
    </row>
    <row r="909" ht="15.75" customHeight="1">
      <c r="E909" s="112"/>
    </row>
    <row r="910" ht="15.75" customHeight="1">
      <c r="E910" s="112"/>
    </row>
    <row r="911" ht="15.75" customHeight="1">
      <c r="E911" s="112"/>
    </row>
    <row r="912" ht="15.75" customHeight="1">
      <c r="E912" s="112"/>
    </row>
    <row r="913" ht="15.75" customHeight="1">
      <c r="E913" s="112"/>
    </row>
    <row r="914" ht="15.75" customHeight="1">
      <c r="E914" s="112"/>
    </row>
    <row r="915" ht="15.75" customHeight="1">
      <c r="E915" s="112"/>
    </row>
    <row r="916" ht="15.75" customHeight="1">
      <c r="E916" s="112"/>
    </row>
    <row r="917" ht="15.75" customHeight="1">
      <c r="E917" s="112"/>
    </row>
    <row r="918" ht="15.75" customHeight="1">
      <c r="E918" s="112"/>
    </row>
    <row r="919" ht="15.75" customHeight="1">
      <c r="E919" s="112"/>
    </row>
    <row r="920" ht="15.75" customHeight="1">
      <c r="E920" s="112"/>
    </row>
    <row r="921" ht="15.75" customHeight="1">
      <c r="E921" s="112"/>
    </row>
    <row r="922" ht="15.75" customHeight="1">
      <c r="E922" s="112"/>
    </row>
    <row r="923" ht="15.75" customHeight="1">
      <c r="E923" s="112"/>
    </row>
    <row r="924" ht="15.75" customHeight="1">
      <c r="E924" s="112"/>
    </row>
    <row r="925" ht="15.75" customHeight="1">
      <c r="E925" s="112"/>
    </row>
    <row r="926" ht="15.75" customHeight="1">
      <c r="E926" s="112"/>
    </row>
    <row r="927" ht="15.75" customHeight="1">
      <c r="E927" s="112"/>
    </row>
    <row r="928" ht="15.75" customHeight="1">
      <c r="E928" s="112"/>
    </row>
    <row r="929" ht="15.75" customHeight="1">
      <c r="E929" s="112"/>
    </row>
    <row r="930" ht="15.75" customHeight="1">
      <c r="E930" s="112"/>
    </row>
    <row r="931" ht="15.75" customHeight="1">
      <c r="E931" s="112"/>
    </row>
    <row r="932" ht="15.75" customHeight="1">
      <c r="E932" s="112"/>
    </row>
    <row r="933" ht="15.75" customHeight="1">
      <c r="E933" s="112"/>
    </row>
    <row r="934" ht="15.75" customHeight="1">
      <c r="E934" s="112"/>
    </row>
    <row r="935" ht="15.75" customHeight="1">
      <c r="E935" s="112"/>
    </row>
    <row r="936" ht="15.75" customHeight="1">
      <c r="E936" s="112"/>
    </row>
    <row r="937" ht="15.75" customHeight="1">
      <c r="E937" s="112"/>
    </row>
    <row r="938" ht="15.75" customHeight="1">
      <c r="E938" s="112"/>
    </row>
    <row r="939" ht="15.75" customHeight="1">
      <c r="E939" s="112"/>
    </row>
    <row r="940" ht="15.75" customHeight="1">
      <c r="E940" s="112"/>
    </row>
    <row r="941" ht="15.75" customHeight="1">
      <c r="E941" s="112"/>
    </row>
    <row r="942" ht="15.75" customHeight="1">
      <c r="E942" s="112"/>
    </row>
    <row r="943" ht="15.75" customHeight="1">
      <c r="E943" s="112"/>
    </row>
    <row r="944" ht="15.75" customHeight="1">
      <c r="E944" s="112"/>
    </row>
    <row r="945" ht="15.75" customHeight="1">
      <c r="E945" s="112"/>
    </row>
    <row r="946" ht="15.75" customHeight="1">
      <c r="E946" s="112"/>
    </row>
    <row r="947" ht="15.75" customHeight="1">
      <c r="E947" s="112"/>
    </row>
    <row r="948" ht="15.75" customHeight="1">
      <c r="E948" s="112"/>
    </row>
    <row r="949" ht="15.75" customHeight="1">
      <c r="E949" s="112"/>
    </row>
    <row r="950" ht="15.75" customHeight="1">
      <c r="E950" s="112"/>
    </row>
    <row r="951" ht="15.75" customHeight="1">
      <c r="E951" s="112"/>
    </row>
    <row r="952" ht="15.75" customHeight="1">
      <c r="E952" s="112"/>
    </row>
    <row r="953" ht="15.75" customHeight="1">
      <c r="E953" s="112"/>
    </row>
    <row r="954" ht="15.75" customHeight="1">
      <c r="E954" s="112"/>
    </row>
    <row r="955" ht="15.75" customHeight="1">
      <c r="E955" s="112"/>
    </row>
    <row r="956" ht="15.75" customHeight="1">
      <c r="E956" s="112"/>
    </row>
    <row r="957" ht="15.75" customHeight="1">
      <c r="E957" s="112"/>
    </row>
    <row r="958" ht="15.75" customHeight="1">
      <c r="E958" s="112"/>
    </row>
    <row r="959" ht="15.75" customHeight="1">
      <c r="E959" s="112"/>
    </row>
    <row r="960" ht="15.75" customHeight="1">
      <c r="E960" s="112"/>
    </row>
    <row r="961" ht="15.75" customHeight="1">
      <c r="E961" s="112"/>
    </row>
    <row r="962" ht="15.75" customHeight="1">
      <c r="E962" s="112"/>
    </row>
    <row r="963" ht="15.75" customHeight="1">
      <c r="E963" s="112"/>
    </row>
    <row r="964" ht="15.75" customHeight="1">
      <c r="E964" s="112"/>
    </row>
    <row r="965" ht="15.75" customHeight="1">
      <c r="E965" s="112"/>
    </row>
    <row r="966" ht="15.75" customHeight="1">
      <c r="E966" s="112"/>
    </row>
    <row r="967" ht="15.75" customHeight="1">
      <c r="E967" s="112"/>
    </row>
    <row r="968" ht="15.75" customHeight="1">
      <c r="E968" s="112"/>
    </row>
    <row r="969" ht="15.75" customHeight="1">
      <c r="E969" s="112"/>
    </row>
    <row r="970" ht="15.75" customHeight="1">
      <c r="E970" s="112"/>
    </row>
    <row r="971" ht="15.75" customHeight="1">
      <c r="E971" s="112"/>
    </row>
    <row r="972" ht="15.75" customHeight="1">
      <c r="E972" s="112"/>
    </row>
    <row r="973" ht="15.75" customHeight="1">
      <c r="E973" s="112"/>
    </row>
    <row r="974" ht="15.75" customHeight="1">
      <c r="E974" s="112"/>
    </row>
    <row r="975" ht="15.75" customHeight="1">
      <c r="E975" s="112"/>
    </row>
    <row r="976" ht="15.75" customHeight="1">
      <c r="E976" s="112"/>
    </row>
    <row r="977" ht="15.75" customHeight="1">
      <c r="E977" s="112"/>
    </row>
    <row r="978" ht="15.75" customHeight="1">
      <c r="E978" s="112"/>
    </row>
    <row r="979" ht="15.75" customHeight="1">
      <c r="E979" s="112"/>
    </row>
    <row r="980" ht="15.75" customHeight="1">
      <c r="E980" s="112"/>
    </row>
    <row r="981" ht="15.75" customHeight="1">
      <c r="E981" s="112"/>
    </row>
    <row r="982" ht="15.75" customHeight="1">
      <c r="E982" s="112"/>
    </row>
    <row r="983" ht="15.75" customHeight="1">
      <c r="E983" s="112"/>
    </row>
    <row r="984" ht="15.75" customHeight="1">
      <c r="E984" s="112"/>
    </row>
    <row r="985" ht="15.75" customHeight="1">
      <c r="E985" s="112"/>
    </row>
    <row r="986" ht="15.75" customHeight="1">
      <c r="E986" s="112"/>
    </row>
    <row r="987" ht="15.75" customHeight="1">
      <c r="E987" s="112"/>
    </row>
    <row r="988" ht="15.75" customHeight="1">
      <c r="E988" s="112"/>
    </row>
    <row r="989" ht="15.75" customHeight="1">
      <c r="E989" s="112"/>
    </row>
    <row r="990" ht="15.75" customHeight="1">
      <c r="E990" s="112"/>
    </row>
    <row r="991" ht="15.75" customHeight="1">
      <c r="E991" s="112"/>
    </row>
    <row r="992" ht="15.75" customHeight="1">
      <c r="E992" s="112"/>
    </row>
    <row r="993" ht="15.75" customHeight="1">
      <c r="E993" s="112"/>
    </row>
    <row r="994" ht="15.75" customHeight="1">
      <c r="E994" s="112"/>
    </row>
    <row r="995" ht="15.75" customHeight="1">
      <c r="E995" s="112"/>
    </row>
    <row r="996" ht="15.75" customHeight="1">
      <c r="E996" s="112"/>
    </row>
    <row r="997" ht="15.75" customHeight="1">
      <c r="E997" s="112"/>
    </row>
    <row r="998" ht="15.75" customHeight="1">
      <c r="E998" s="112"/>
    </row>
    <row r="999" ht="15.75" customHeight="1">
      <c r="E999" s="112"/>
    </row>
    <row r="1000" ht="15.75" customHeight="1">
      <c r="E1000" s="112"/>
    </row>
  </sheetData>
  <mergeCells count="5">
    <mergeCell ref="D3:D5"/>
    <mergeCell ref="E3:E5"/>
    <mergeCell ref="F3:I3"/>
    <mergeCell ref="J3:K4"/>
    <mergeCell ref="F4:I4"/>
  </mergeCells>
  <printOptions/>
  <pageMargins bottom="0.75" footer="0.0" header="0.0" left="0.7" right="0.7" top="0.75"/>
  <pageSetup orientation="landscape"/>
  <drawing r:id="rId1"/>
</worksheet>
</file>